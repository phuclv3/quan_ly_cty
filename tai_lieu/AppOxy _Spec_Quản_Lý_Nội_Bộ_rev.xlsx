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204D5280-AE89-4465-9176-D8FD08D7A710}" xr6:coauthVersionLast="47" xr6:coauthVersionMax="47" xr10:uidLastSave="{00000000-0000-0000-0000-000000000000}"/>
  <bookViews>
    <workbookView xWindow="-120" yWindow="-120" windowWidth="29040" windowHeight="15720" xr2:uid="{00000000-000D-0000-FFFF-FFFF00000000}"/>
  </bookViews>
  <sheets>
    <sheet name="Hướng dẫn" sheetId="1" r:id="rId1"/>
    <sheet name="Chức năng theo Spec" sheetId="2" r:id="rId2"/>
    <sheet name="Quyết định đã chốt" sheetId="3" r:id="rId3"/>
    <sheet name="Câu hỏi cần trả lời" sheetId="4" r:id="rId4"/>
    <sheet name="Trường dữ liệu" sheetId="5" r:id="rId5"/>
    <sheet name="Ma trận quyền" sheetId="6" r:id="rId6"/>
    <sheet name="Tổng hợp"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7" l="1"/>
  <c r="B15" i="7"/>
  <c r="B14" i="7"/>
  <c r="B13" i="7"/>
  <c r="B12" i="7"/>
  <c r="E8" i="7"/>
  <c r="D8" i="7"/>
  <c r="C8" i="7"/>
  <c r="B8" i="7"/>
  <c r="E7" i="7"/>
  <c r="D7" i="7"/>
  <c r="C7" i="7"/>
  <c r="B7" i="7"/>
  <c r="F7" i="7" s="1"/>
  <c r="E6" i="7"/>
  <c r="F6" i="7" s="1"/>
  <c r="D6" i="7"/>
  <c r="C6" i="7"/>
  <c r="B6" i="7"/>
  <c r="E5" i="7"/>
  <c r="D5" i="7"/>
  <c r="C5" i="7"/>
  <c r="B5" i="7"/>
  <c r="F5" i="7" s="1"/>
  <c r="E4" i="7"/>
  <c r="E9" i="7" s="1"/>
  <c r="D4" i="7"/>
  <c r="D9" i="7" s="1"/>
  <c r="C4" i="7"/>
  <c r="C9" i="7" s="1"/>
  <c r="B4" i="7"/>
  <c r="B9" i="7" s="1"/>
  <c r="F8" i="7" l="1"/>
  <c r="F9" i="7"/>
  <c r="F4" i="7"/>
</calcChain>
</file>

<file path=xl/sharedStrings.xml><?xml version="1.0" encoding="utf-8"?>
<sst xmlns="http://schemas.openxmlformats.org/spreadsheetml/2006/main" count="2385" uniqueCount="1228">
  <si>
    <t>APP OXY — DANH SÁCH CHỨC NĂNG THEO SPEC</t>
  </si>
  <si>
    <t>Căn cứ: "App Oxy - Spec Quản Lý Nội Bộ - rev.md" (Sep 17, 2026). Chi tiết bổ sung tham khảo app đang chạy + tai_lieu/nghiep_vu/.</t>
  </si>
  <si>
    <t>Sheet</t>
  </si>
  <si>
    <t>Nội dung</t>
  </si>
  <si>
    <t>Chức năng theo Spec</t>
  </si>
  <si>
    <t>76 chức năng, sắp theo đúng thứ tự module/mục của spec. Mỗi dòng: mô tả chi tiết (trường, màn hình, nút), quy tắc &amp; công thức, quyết định áp dụng, câu hỏi còn mở.</t>
  </si>
  <si>
    <t>Quyết định đã chốt</t>
  </si>
  <si>
    <t>33 điểm spec chưa rõ mà Claude tự quyết, kèm căn cứ. Trạng thái mặc định "Chờ xác nhận" — người phụ trách đổi sang "Đồng ý" hoặc "Cần sửa".</t>
  </si>
  <si>
    <t>Câu hỏi cần trả lời</t>
  </si>
  <si>
    <t>8 điểm chỉ công ty quyết được (dữ liệu thực tế, thoả thuận tiền, quy định nội bộ). Điền vào cột vàng.</t>
  </si>
  <si>
    <t>Trường dữ liệu</t>
  </si>
  <si>
    <t>206 trường của 28 bảng (sheet nguồn trên Google Sheets).</t>
  </si>
  <si>
    <t>Ma trận quyền</t>
  </si>
  <si>
    <t>Quyền mặc định vai trò × chức năng (quyết định D-25, chờ xác nhận ở Q-06).</t>
  </si>
  <si>
    <t>Tổng hợp</t>
  </si>
  <si>
    <t>Đếm theo module, ưu tiên, tiến độ; số quyết định/câu hỏi theo trạng thái.</t>
  </si>
  <si>
    <t>Ký hiệu</t>
  </si>
  <si>
    <t>Ô vàng = người phụ trách điền. Cột "Ghi chú so với app hiện tại" chỉ để tham khảo khi chuyển từ app đang chạy.</t>
  </si>
  <si>
    <t>CHỨC NĂNG THEO SPEC</t>
  </si>
  <si>
    <t>Cột "Quyết định" tra ở sheet Quyết định đã chốt; cột "Câu hỏi" tra ở sheet Câu hỏi cần trả lời. Ô vàng: Người phụ trách / Tiến độ.</t>
  </si>
  <si>
    <t>STT</t>
  </si>
  <si>
    <t>Mã CN</t>
  </si>
  <si>
    <t>Module</t>
  </si>
  <si>
    <t>Mục trong spec</t>
  </si>
  <si>
    <t>Màn hình / Tab</t>
  </si>
  <si>
    <t>Tên chức năng</t>
  </si>
  <si>
    <t>Mô tả chi tiết</t>
  </si>
  <si>
    <t>Quy tắc nghiệp vụ &amp; công thức</t>
  </si>
  <si>
    <t>Loại</t>
  </si>
  <si>
    <t>Bảng dữ liệu</t>
  </si>
  <si>
    <t>Phụ thuộc</t>
  </si>
  <si>
    <t>Quyết định</t>
  </si>
  <si>
    <t>Câu hỏi</t>
  </si>
  <si>
    <t>Ưu tiên</t>
  </si>
  <si>
    <t>Ghi chú so với app hiện tại</t>
  </si>
  <si>
    <t>Người phụ trách</t>
  </si>
  <si>
    <t>Tiến độ</t>
  </si>
  <si>
    <t>NT-01</t>
  </si>
  <si>
    <t>0. Nền tảng &amp; Kiến trúc</t>
  </si>
  <si>
    <t>Kiến trúc › Auth.gs</t>
  </si>
  <si>
    <t>Màn Đăng nhập</t>
  </si>
  <si>
    <t>Đăng nhập nội bộ bằng email + mật khẩu</t>
  </si>
  <si>
    <t>• Form: Email, Mật khẩu (nút hiện/ẩn), nút Đăng nhập.
• Server kiểm email trong sheet TaiKhoan, so khớp mật khẩu băm (SHA-256 + salt riêng từng tài khoản).
• Thành công → tạo token phiên lưu ở PhienDangNhap, trả về client; client lưu token và truyền AUTH_TOKEN tường minh ở MỌI lần gọi server.
• Sau đăng nhập: tải danh sách menu theo quyền và prefetch song song dữ liệu các module.</t>
  </si>
  <si>
    <t>• Token hết hạn sau 12 giờ không hoạt động → bắt đăng nhập lại.
• Sai mật khẩu 5 lần liên tiếp → khoá đăng nhập tài khoản 15 phút.
• Tài khoản trạng thái "Khoá" không đăng nhập được.
• Thông báo lỗi chung "Email hoặc mật khẩu không đúng" (không tiết lộ email có tồn tại).</t>
  </si>
  <si>
    <t>Hệ thống</t>
  </si>
  <si>
    <t>TaiKhoan, PhienDangNhap</t>
  </si>
  <si>
    <t>D-28</t>
  </si>
  <si>
    <t>Cao</t>
  </si>
  <si>
    <t>App hiện tại đăng nhập bằng tên đăng nhập; spec yêu cầu email → làm theo spec.</t>
  </si>
  <si>
    <t>NT-02</t>
  </si>
  <si>
    <t>Popup Đổi mật khẩu</t>
  </si>
  <si>
    <t>Đổi mật khẩu &amp; đặt lại mật khẩu</t>
  </si>
  <si>
    <t>• Người dùng tự đổi: Mật khẩu cũ, Mật khẩu mới, Nhập lại.
• Người có quyền Quản lý tài khoản đặt lại mật khẩu cho người khác, tuỳ chọn "Bắt đổi ở lần đăng nhập tới".
• Đặt lại mật khẩu → huỷ mọi token phiên của tài khoản đó.</t>
  </si>
  <si>
    <t>• Mật khẩu mới ≥ 8 ký tự, khác mật khẩu cũ.
• Tài khoản có cờ BatDoiMK → sau đăng nhập chỉ hiện popup đổi mật khẩu, chưa vào app.</t>
  </si>
  <si>
    <t>NT-03</t>
  </si>
  <si>
    <t>Còn cần chốt › Phân quyền</t>
  </si>
  <si>
    <t>Màn Quản lý tài khoản</t>
  </si>
  <si>
    <t>Quản lý tài khoản &amp; vai trò</t>
  </si>
  <si>
    <t>• Danh sách tài khoản: Họ tên, Email, Vai trò, Trạng thái, Lần đăng nhập cuối.
• Thêm tài khoản: Họ tên, Email, Vai trò (chọn nhiều), Mật khẩu tạm.
• Sửa họ tên/vai trò; Khoá / Mở khoá tài khoản.</t>
  </si>
  <si>
    <t>• Email duy nhất.
• Một người được giữ nhiều vai trò, quyền là hợp của các vai trò.
• Không xoá tài khoản đã phát sinh dữ liệu — chỉ Khoá.</t>
  </si>
  <si>
    <t>Danh mục</t>
  </si>
  <si>
    <t>TaiKhoan</t>
  </si>
  <si>
    <t>D-25</t>
  </si>
  <si>
    <t>NT-04</t>
  </si>
  <si>
    <t>Còn cần chốt › Phân quyền + Quy ước code</t>
  </si>
  <si>
    <t>Toàn app</t>
  </si>
  <si>
    <t>Phân quyền theo vai trò</t>
  </si>
  <si>
    <t>• Ma trận quyền mặc định ở sheet "Ma trận quyền" (vai trò × chức năng: Xem / Sửa / Duyệt / —).
• Server: mọi hàm ghi dữ liệu gọi _requireCanEdit_ (hoặc _requireOwner_ với bản ghi theo người phụ trách) TRƯỚC khi ghi.
• Client: vai trò chỉ-xem ẩn toàn bộ nút hành động (Thêm/Sửa/Lưu/Duyệt/Xoá); menu chỉ hiện module được xem.</t>
  </si>
  <si>
    <t>• Spec chốt: Sale xem được Khách hàng; Admin xem được Hợp đồng; Kế toán và Giám đốc xem được hết.
• Sale chỉ thấy và sửa HĐ Bán do mình phụ trách.
• Kiểm tra quyền làm ở server; ẩn nút ở client chỉ là hiển thị.</t>
  </si>
  <si>
    <t>TaiKhoan, CauHinh</t>
  </si>
  <si>
    <t>Q-06</t>
  </si>
  <si>
    <t>App hiện tại có 34 khoá quyền × 7 vai trò; spec chỉ nêu quyền xem → ma trận mặc định do Claude đề xuất.</t>
  </si>
  <si>
    <t>NT-05</t>
  </si>
  <si>
    <t>Kiến trúc › Nền tảng</t>
  </si>
  <si>
    <t>Index.html</t>
  </si>
  <si>
    <t>Khung SPA &amp; điều hướng</t>
  </si>
  <si>
    <t>• 1 trang Index.html chứa các iframe module, giữ sống (kept-alive), không tải lại khi chuyển màn.
• navigateTo_(module, {id, tab}) chuyển màn và mở thẳng bản ghi/tab.
• Giao tiếp giữa các frame chỉ qua postToAncestors_ / postToDescendantsAndSelf_ (không gọi window.parent.postMessage trực tiếp).
• Khi rời màn còn thay đổi chưa lưu → hỏi "Ở lại / Thoát không lưu".</t>
  </si>
  <si>
    <t>• Hàm nội bộ server đặt hậu tố _.
• Dữ liệu dùng chung (danh mục) tải 1 lần, làm mới khi có thay đổi.</t>
  </si>
  <si>
    <t>NT-06</t>
  </si>
  <si>
    <t>Còn cần chốt › Layout UI</t>
  </si>
  <si>
    <t>Thanh menu</t>
  </si>
  <si>
    <t>Menu tổng</t>
  </si>
  <si>
    <t>• Thứ tự: Trang chủ · Hợp đồng bán · Hợp đồng mua · Kho · Kế toán · Phú Tài · Danh mục · Duyệt xoá · Quản lý tài khoản.
• Mỗi mục có biểu tượng + nhãn + số đếm việc chờ (VD: phiếu chờ duyệt, yêu cầu xoá chờ duyệt).
• Topbar: tên người dùng, vai trò, nút Đổi mật khẩu, Đăng xuất; menu thu gọn (☰) trên màn hẹp.</t>
  </si>
  <si>
    <t>• Chỉ hiện mục người dùng có quyền Xem.</t>
  </si>
  <si>
    <t>Giao diện</t>
  </si>
  <si>
    <t>NT-04, NT-05</t>
  </si>
  <si>
    <t>Q-08</t>
  </si>
  <si>
    <t>Trung bình</t>
  </si>
  <si>
    <t>NT-07</t>
  </si>
  <si>
    <t>Trang chủ</t>
  </si>
  <si>
    <t>Dashboard trang chủ</t>
  </si>
  <si>
    <t>Các thẻ (mỗi thẻ bấm vào mở màn chi tiết):
• Số dư từng Nguồn tiền + tổng.
• Tổng Công nợ phải thu / phải trả; số HĐ quá hạn thanh toán.
• Số phiếu thu chi / chi phí HĐ đang Chờ duyệt.
• HĐ thiếu hồ sơ (chưa lưu / chưa có hoá đơn).
• Tồn kho theo kho (tổng số lượng).
• Số dư quỹ ảo Phú Tài.
• Tạm ứng chưa quyết toán.</t>
  </si>
  <si>
    <t>• Mỗi vai trò chỉ thấy thẻ thuộc module mình được xem.
• Số liệu tính tại thời điểm mở, có nút Làm mới.</t>
  </si>
  <si>
    <t>Báo cáo</t>
  </si>
  <si>
    <t>(tổng hợp)</t>
  </si>
  <si>
    <t>KT-02, KT-17, KT-18, KHO-09, PT-10</t>
  </si>
  <si>
    <t>D-26</t>
  </si>
  <si>
    <t>Thấp</t>
  </si>
  <si>
    <t>App hiện tại chưa có dashboard.</t>
  </si>
  <si>
    <t>NT-08</t>
  </si>
  <si>
    <t>Kiến trúc › Common_CSS/JS + Quy ước UI</t>
  </si>
  <si>
    <t>Thư viện UI dùng chung</t>
  </si>
  <si>
    <t>• Common_CSS.html + Common_JS.html là 1 nguồn UI cho mọi module.
• Topbar và bộ lọc flex-wrap; thanh tab position:sticky; bảng rộng freeze cột đầu + cuộn ngang.
• Font Times New Roman.
• Thành phần chung: bảng, form, popup, toast thông báo, ô tiền tệ (định dạng 1.234.567 đ), ô ngày dd/mm/yyyy, ô chọn có tìm kiếm.</t>
  </si>
  <si>
    <t>• Số tiền hiển thị phân cách hàng nghìn bằng dấu chấm, không thập phân với VNĐ.</t>
  </si>
  <si>
    <t>App hiện tại dùng font Be Vietnam Pro; spec yêu cầu Times New Roman.</t>
  </si>
  <si>
    <t>NT-09</t>
  </si>
  <si>
    <t>Kiến trúc › Quy ước UI</t>
  </si>
  <si>
    <t>Mọi màn danh sách</t>
  </si>
  <si>
    <t>Bộ lọc chuẩn</t>
  </si>
  <si>
    <t>• Ô tìm nhanh free-text (tìm theo số HĐ, tên, MST, nội dung).
• Lọc thời gian: Năm / Quý / Tháng.
• Lọc multi-select theo trạng thái, người phụ trách, nguồn tiền, kho… tuỳ màn.
• Nút Xoá lọc; ghi nhớ bộ lọc gần nhất của người dùng.</t>
  </si>
  <si>
    <t>• Năm/Quý/Tháng lọc theo ngày chính của màn (Ngày ký với HĐ, Ngày lập với phiếu).</t>
  </si>
  <si>
    <t>App hiện tại chỉ có lọc Năm ở Báo cáo.</t>
  </si>
  <si>
    <t>NT-10</t>
  </si>
  <si>
    <t>Kiến trúc › FieldConfig.gs</t>
  </si>
  <si>
    <t>Server</t>
  </si>
  <si>
    <t>Khai báo field tập trung (FieldConfig.gs)</t>
  </si>
  <si>
    <t>• 1 nguồn khai báo cho mọi bảng: tên field, cột sheet, nhãn hiển thị, kiểu (text/số/tiền/ngày/danh sách/tham chiếu), bắt buộc, danh sách giá trị.
• Form và bảng ở client sinh từ khai báo này.</t>
  </si>
  <si>
    <t>• Cột mới luôn NỐI THÊM vào cuối sheet, không tái dùng cột cũ.
• Đổi nhãn không đổi cột.</t>
  </si>
  <si>
    <t>Tất cả</t>
  </si>
  <si>
    <t>NT-11</t>
  </si>
  <si>
    <t>Kiến trúc › Quy trình duyệt xoá</t>
  </si>
  <si>
    <t>Mọi màn + màn Duyệt xoá</t>
  </si>
  <si>
    <t>Quy trình duyệt xoá (Request → Approve)</t>
  </si>
  <si>
    <t>• Nút Xoá ở mọi bản ghi tạo Yêu cầu xoá: Loại đối tượng, Mã đối tượng, Lý do (bắt buộc).
• Màn Duyệt xoá: tab Chờ duyệt / Đã xử lý; cột Ngày gửi, Người gửi, Loại, Đối tượng, Lý do; nút Duyệt / Từ chối.
• Người gửi được Rút yêu cầu khi còn Chờ duyệt.</t>
  </si>
  <si>
    <t>• Không xoá thẳng — kể cả Giám đốc cũng phải tạo yêu cầu rồi duyệt.
• Bản ghi đang có yêu cầu xoá hiển thị nhãn "Chờ xoá" và khoá sửa.
• Duyệt xoá phiếu đã cộng/trừ số dư hoặc tồn → số dư/tồn tính lại.
• Không xoá được bản ghi đang được tham chiếu (VD: HĐ Bán đã có phiếu kho) — phải xoá bản ghi con trước.</t>
  </si>
  <si>
    <t>Quy trình</t>
  </si>
  <si>
    <t>YeuCauXoa</t>
  </si>
  <si>
    <t>App hiện tại cho người có quyền duyệt xoá được xoá thẳng; spec yêu cầu luôn qua duyệt.</t>
  </si>
  <si>
    <t>NT-12</t>
  </si>
  <si>
    <t>Module 2 › Tab Lưu trữ hồ sơ</t>
  </si>
  <si>
    <t>Thành phần dùng chung</t>
  </si>
  <si>
    <t>Upload &amp; lưu trữ hồ sơ trên Drive</t>
  </si>
  <si>
    <t>• Upload nhiều file (ảnh, PDF) vào Drive công ty, cây thư mục /App Oxy/Hồ sơ/{Năm}/{Số HĐ}/{Loại hồ sơ}/ do app tự tạo.
• Ảnh tự nén (cạnh dài ≤ 2000px) và tạo thumbnail; PDF hiện biểu tượng.
• Tải tất cả hồ sơ của 1 HĐ dạng .zip.
• Mỗi loại hồ sơ có cờ "Đã lưu" và "Đã scan".</t>
  </si>
  <si>
    <t>• Upload thành công → tự tích "Đã lưu".
• Hồ sơ chỉ có bản giấy → cho tích tay "Đã lưu" kèm ghi chú bắt buộc.
• File ≤ 20MB.</t>
  </si>
  <si>
    <t>Tiện ích</t>
  </si>
  <si>
    <t>HoSo</t>
  </si>
  <si>
    <t>D-23</t>
  </si>
  <si>
    <t>Q-02</t>
  </si>
  <si>
    <t>NT-13</t>
  </si>
  <si>
    <t>Dữ liệu lịch sử + Còn cần chốt › Import</t>
  </si>
  <si>
    <t>Công cụ quản trị</t>
  </si>
  <si>
    <t>Import dữ liệu lịch sử từ 4 file Excel</t>
  </si>
  <si>
    <t>• Nguồn: THEO DÕI 2026, HỢP ĐỒNG MUA, Bảng kê Thanh Toán, Công nợ Phú Tài Miền Nam.
• Bảng mapping cột cũ → field mới cho từng file.
• Chạy thử (xem trước, báo dòng lỗi) → Chạy thật.
• Import toàn bộ, không nhập tay lại.</t>
  </si>
  <si>
    <t>• Trường bắt buộc mà dữ liệu cũ thiếu → điền "(Chưa xác định)" và gắn cờ "Dữ liệu import" để lọc bổ sung.
• Phiếu thu chi cũ import ở trạng thái Đã duyệt, Người duyệt = "Import".
• Chỉ chạy sau khi cấu trúc field (NT-10) đã chốt.</t>
  </si>
  <si>
    <t>D-27</t>
  </si>
  <si>
    <t>Q-05, Q-07</t>
  </si>
  <si>
    <t>NT-14</t>
  </si>
  <si>
    <t>(phục vụ các công thức trong spec)</t>
  </si>
  <si>
    <t>Màn Cấu hình</t>
  </si>
  <si>
    <t>Tham số cấu hình</t>
  </si>
  <si>
    <t>• Các tham số: bậc Thuế TNDN HĐ Bán (ngưỡng 20%, mức 25% / 50%); tỷ lệ Phú Tài (thuế 20%, Phú Tài giữ 10%); tiền tố số phiếu (TC, CP, NK, XK); số đợt thanh toán tối đa (3).
• Mỗi lần sửa ghi lại người sửa, thời điểm, giá trị cũ.</t>
  </si>
  <si>
    <t>• Chỉ Giám đốc sửa.
• HĐ đã tính giữ tỷ lệ tại thời điểm tạo; tham số mới chỉ áp cho HĐ tạo sau.</t>
  </si>
  <si>
    <t>CauHinh</t>
  </si>
  <si>
    <t>D-29</t>
  </si>
  <si>
    <t>KT-01</t>
  </si>
  <si>
    <t>1. Kế toán</t>
  </si>
  <si>
    <t>Module 1 › Danh mục Nguồn tiền</t>
  </si>
  <si>
    <t>Kế toán › tab Nguồn tiền</t>
  </si>
  <si>
    <t>Quản lý danh mục Nguồn tiền</t>
  </si>
  <si>
    <t>• Thẻ cho từng nguồn: Tên, Loại, Số dư hiện tại, dòng tóm tắt "Đầu kỳ · Thu · Chi".
• Thêm/Sửa: Mã nguồn, Tên (Tiền mặt, UNC-MSB, UNC-Vietcombank…), Loại (Tiền mặt / Ngân hàng), Số tài khoản + Ngân hàng (nếu Ngân hàng), Số dư đầu kỳ, Ngày đầu kỳ, Trạng thái (Đang dùng / Ngưng).</t>
  </si>
  <si>
    <t>• Chỉ VNĐ.
• Số dư đầu kỳ và Ngày đầu kỳ bị khoá khi nguồn đã có phiếu Đã duyệt.
• Nguồn "Ngưng" không hiện trong ô chọn khi lập phiếu mới.
• Số dư âm → thẻ hiển thị cảnh báo đỏ.</t>
  </si>
  <si>
    <t>DM_NguonTien</t>
  </si>
  <si>
    <t>KT-02</t>
  </si>
  <si>
    <t>Tự tính Số dư hiện tại</t>
  </si>
  <si>
    <t>Số dư hiện tại của 1 nguồn =
  Số dư đầu kỳ
+ Σ Số tiền Thu (phiếu Thu, Đã duyệt)
− Σ Số tiền Chi (phiếu Chi, Tạm ứng, Đã duyệt)
± Quyết toán tạm ứng (chỉ phần chênh lệch, Đã duyệt)
− Σ Luân chuyển đi + Σ Luân chuyển đến (Đã duyệt)
− Σ Chi phí thực hiện HĐ (Đã duyệt, chọn nguồn này).</t>
  </si>
  <si>
    <t>• Phiếu Nháp / Chờ duyệt / Từ chối không tính.
• Tính lại ngay khi có phiếu được duyệt hoặc huỷ.</t>
  </si>
  <si>
    <t>Tự động tính</t>
  </si>
  <si>
    <t>DM_NguonTien, PhieuThuChi, ChiPhiThucHienHD</t>
  </si>
  <si>
    <t>KT-01, KT-07, KT-14</t>
  </si>
  <si>
    <t>D-13</t>
  </si>
  <si>
    <t>KT-03</t>
  </si>
  <si>
    <t>Còn cần chốt › Loại chi phí</t>
  </si>
  <si>
    <t>Danh mục › Loại chi phí</t>
  </si>
  <si>
    <t>Danh mục Loại chi phí (2 nhóm)</t>
  </si>
  <si>
    <t>• Trường: Mã loại, Tên loại, Nhóm (Vận hành / Thực hiện HĐ), Đang dùng.
• Dữ liệu ban đầu:
  – Vận hành: Văn phòng, Marketing, Lương/Thưởng, Công tác phí.
  – Thực hiện HĐ: Vận chuyển, Kiểm định, Hoa hồng kinh doanh, Phát sinh khác.</t>
  </si>
  <si>
    <t>• Sổ Quỹ chung chỉ chọn nhóm Vận hành.
• Chi phí thực hiện HĐ chỉ chọn nhóm Thực hiện HĐ.
• Không xoá loại đã dùng — chỉ ngưng.</t>
  </si>
  <si>
    <t>DM_LoaiChiPhi</t>
  </si>
  <si>
    <t>D-17</t>
  </si>
  <si>
    <t>KT-04</t>
  </si>
  <si>
    <t>Module 1 › Sổ Quỹ chung</t>
  </si>
  <si>
    <t>Kế toán › tab Sổ quỹ</t>
  </si>
  <si>
    <t>Danh sách Sổ quỹ</t>
  </si>
  <si>
    <t>• Cột: Số phiếu, Ngày lập, Loại phiếu, Nguồn tiền, Loại chi phí, Nội dung, Thu, Chi, Người đề nghị, Trạng thái.
• Dòng tổng: Tổng Thu, Tổng Chi theo bộ lọc.
• Lọc: bộ lọc chuẩn + Loại phiếu, Nguồn tiền, Trạng thái, Loại chi phí.
• Chế độ "Xem gộp": thêm các dòng Chi phí thực hiện HĐ đã duyệt (đánh dấu nguồn "CP HĐ") để đối chiếu dòng tiền đầy đủ.
• Xuất Excel theo bộ lọc.</t>
  </si>
  <si>
    <t>• Sổ quỹ không gắn Hợp đồng.
• Người không có quyền Kế toán không thấy màn này.</t>
  </si>
  <si>
    <t>Danh sách</t>
  </si>
  <si>
    <t>PhieuThuChi</t>
  </si>
  <si>
    <t>KT-05</t>
  </si>
  <si>
    <t>D-14</t>
  </si>
  <si>
    <t>Popup Lập phiếu</t>
  </si>
  <si>
    <t>Lập phiếu Thu / Chi</t>
  </si>
  <si>
    <t>Trường: Số phiếu (tự sinh), Ngày lập, Loại phiếu (Thu / Chi / Tạm ứng / Quyết toán tạm ứng / Luân chuyển), Nguồn tiền, Loại chi phí, Nội dung, Số tiền Thu, Số tiền Chi, Người đề nghị, File đính kèm, Ghi chú.
• Nút: Lưu nháp · Gửi duyệt.
• In phiếu Thu/Chi (A5).</t>
  </si>
  <si>
    <t>• Phiếu Thu chỉ nhập Số tiền Thu; phiếu Chi/Tạm ứng chỉ nhập Số tiền Chi; số tiền &gt; 0.
• Loại chi phí bắt buộc với Chi và Tạm ứng (nhóm Vận hành).
• Chỉ sửa được khi Nháp hoặc Từ chối; Đã duyệt thì khoá (muốn bỏ → yêu cầu xoá).</t>
  </si>
  <si>
    <t>Nhập liệu</t>
  </si>
  <si>
    <t>KT-01, KT-03, KT-06</t>
  </si>
  <si>
    <t>KT-06</t>
  </si>
  <si>
    <t>Đánh số phiếu tự động</t>
  </si>
  <si>
    <t>• Phiếu thu chi: TC{yy}-{nnnn} theo năm của Ngày lập, VD TC26-0001, dùng chung cho mọi loại phiếu.
• Chi phí thực hiện HĐ: CP{yy}-{nnnn}. Phiếu kho: NK{yy}-{nnnn} / XK{yy}-{nnnn}.</t>
  </si>
  <si>
    <t>• Sinh số khi Lưu lần đầu (kể cả Nháp), không tái sử dụng số của phiếu đã xoá.
• Sang năm mới đếm lại từ 0001.
• Khoá ghi (LockService) khi sinh số để không trùng.</t>
  </si>
  <si>
    <t>Tự động</t>
  </si>
  <si>
    <t>PhieuThuChi, ChiPhiThucHienHD, PhieuKho</t>
  </si>
  <si>
    <t>D-31</t>
  </si>
  <si>
    <t>App hiện tại đánh số PT-/PC-yymm-nnn theo tháng; spec yêu cầu TCyy-nnnn theo năm.</t>
  </si>
  <si>
    <t>KT-07</t>
  </si>
  <si>
    <t>Kế toán › tab Chờ duyệt</t>
  </si>
  <si>
    <t>Duyệt / Từ chối phiếu thu chi</t>
  </si>
  <si>
    <t>• Luồng: Nháp → Chờ duyệt → Đã duyệt / Từ chối.
• Tab Chờ duyệt liệt kê phiếu chờ, nút Duyệt / Từ chối (bắt buộc lý do) từng phiếu hoặc chọn nhiều.
• Ghi Người duyệt + Ngày duyệt.</t>
  </si>
  <si>
    <t>• Chỉ phiếu Đã duyệt mới cộng/trừ số dư quỹ.
• Người duyệt: vai trò Kế toán hoặc Giám đốc.
• Người lập không tự duyệt phiếu của mình (trừ Giám đốc).
• Phiếu Từ chối quay về cho người lập sửa và gửi lại.</t>
  </si>
  <si>
    <t>KT-05, NT-04</t>
  </si>
  <si>
    <t>D-10</t>
  </si>
  <si>
    <t>App hiện tại không có bước duyệt phiếu thu chi.</t>
  </si>
  <si>
    <t>KT-08</t>
  </si>
  <si>
    <t>Tạm ứng &amp; Quyết toán tạm ứng</t>
  </si>
  <si>
    <t>• Phiếu Tạm ứng: như phiếu Chi, thêm Người nhận tạm ứng.
• Phiếu Quyết toán tạm ứng: bắt buộc chọn phiếu Tạm ứng gốc (đã duyệt, chưa quyết toán); nhập Số tiền thực chi + Loại chi phí.
• Hệ thống tự tính chênh lệch = Tạm ứng − Thực chi.</t>
  </si>
  <si>
    <t>• Tạm ứng trừ quỹ khi được duyệt.
• Quyết toán: chênh lệch &gt; 0 → ghi Thu hoàn ứng vào nguồn; &lt; 0 → ghi Chi bổ sung. Số dư chỉ đổi theo phần chênh lệch.
• 1 phiếu Tạm ứng chỉ quyết toán 1 lần.</t>
  </si>
  <si>
    <t>KT-05, KT-07</t>
  </si>
  <si>
    <t>D-11</t>
  </si>
  <si>
    <t>App hiện tại chưa có loại phiếu này.</t>
  </si>
  <si>
    <t>KT-09</t>
  </si>
  <si>
    <t>Kế toán › Báo cáo</t>
  </si>
  <si>
    <t>Báo cáo Tạm ứng chưa quyết toán</t>
  </si>
  <si>
    <t>• Cột: Người nhận, Số phiếu, Ngày, Số tiền tạm ứng, Số ngày treo.
• Nhóm theo người nhận, có tổng.</t>
  </si>
  <si>
    <t>• Chỉ tính phiếu Tạm ứng Đã duyệt mà chưa có Quyết toán Đã duyệt.</t>
  </si>
  <si>
    <t>KT-10</t>
  </si>
  <si>
    <t>Module 1 › Sổ Quỹ chung (bổ sung Luân chuyển tiền)</t>
  </si>
  <si>
    <t>Luân chuyển tiền giữa các nguồn</t>
  </si>
  <si>
    <t>• Loại phiếu "Luân chuyển": Nguồn đi, Nguồn đến, Số tiền, Nội dung (VD: Rút tiền ngân hàng nhập quỹ tiền mặt).
• 1 phiếu = giảm Nguồn đi + tăng Nguồn đến cùng lúc.</t>
  </si>
  <si>
    <t>• Nguồn đi ≠ Nguồn đến.
• Qua duyệt như phiếu thường.
• Không tính vào Tổng Thu/Tổng Chi của báo cáo; tổng số dư mọi nguồn không đổi.</t>
  </si>
  <si>
    <t>D-12</t>
  </si>
  <si>
    <t>App hiện tại ghi luân chuyển bằng cặp phiếu thu/chi.</t>
  </si>
  <si>
    <t>KT-11</t>
  </si>
  <si>
    <t>Module 1 › Sổ Quỹ chung (khớp số dư)</t>
  </si>
  <si>
    <t>Báo cáo số dư theo nguồn tại ngày</t>
  </si>
  <si>
    <t>• Chọn ngày X → bảng: Nguồn tiền, Đầu kỳ, Thu, Chi, Luân chuyển vào/ra, CP HĐ, Số dư tại ngày X.
• Ô nhập Số dư thực tế (sao kê / kiểm quỹ) → hiện Chênh lệch.</t>
  </si>
  <si>
    <t>• Dùng để đối chiếu Số dư Ngân hàng và Tiền mặt với thực tế.
• Chênh lệch ≠ 0 → nhắc kiểm tra phiếu thiếu; không tự sinh bút toán điều chỉnh.</t>
  </si>
  <si>
    <t>PhieuThuChi, ChiPhiThucHienHD</t>
  </si>
  <si>
    <t>KT-12</t>
  </si>
  <si>
    <t>Module 1 › Chi phí thực hiện HĐ</t>
  </si>
  <si>
    <t>Kế toán › tab Chi phí HĐ</t>
  </si>
  <si>
    <t>Danh sách Chi phí thực hiện HĐ</t>
  </si>
  <si>
    <t>• Cột: Mã CP, Số HĐ, Khách hàng, Ngày, Loại chi phí, Nội dung, Số tiền, Nguồn tiền, Người thực hiện, Trạng thái.
• Lọc: bộ lọc chuẩn + Số HĐ, Loại chi phí, Trạng thái.
• Tổng số tiền theo bộ lọc.</t>
  </si>
  <si>
    <t>• Sổ tách riêng, KHÔNG chung bảng với Sổ Quỹ chung.</t>
  </si>
  <si>
    <t>ChiPhiThucHienHD</t>
  </si>
  <si>
    <t>KT-13</t>
  </si>
  <si>
    <t>App hiện tại không có sổ riêng; chi phí đi qua hàng chờ rồi thành phiếu chi.</t>
  </si>
  <si>
    <t>Popup Nhập chi phí</t>
  </si>
  <si>
    <t>Nhập Chi phí thực hiện HĐ</t>
  </si>
  <si>
    <t>Trường: Mã CP (tự sinh), Số HĐ (bắt buộc, chọn từ HopDongBan), Ngày, Loại chi phí thực hiện, Nội dung, Số tiền, Nguồn tiền chi ra, Người thực hiện, Người nhận (bắt buộc nếu Hoa hồng), Đơn vị vận chuyển (nếu Vận chuyển), File đính kèm, Ghi chú.
• Nút: Lưu nháp · Gửi duyệt.</t>
  </si>
  <si>
    <t>• Chỉ chọn Loại chi phí nhóm Thực hiện HĐ.
• Số HĐ phải ở trạng thái Hiệu lực trở đi (không phải Báo giá).
• Sửa được khi Nháp / Từ chối.</t>
  </si>
  <si>
    <t>KT-03, HDB-02, KT-01</t>
  </si>
  <si>
    <t>KT-14</t>
  </si>
  <si>
    <t>Duyệt Chi phí thực hiện HĐ</t>
  </si>
  <si>
    <t>• Cùng tab Chờ duyệt với phiếu thu chi (lọc theo loại).
• Luồng: Nháp → Chờ duyệt → Đã duyệt / Từ chối.</t>
  </si>
  <si>
    <t>• Đã duyệt → trừ vào số dư Nguồn tiền đã chọn (KT-02) và cộng vào tổng chi phí của HĐ (HDB-11).
• Người duyệt theo D-10.</t>
  </si>
  <si>
    <t>KT-13, KT-07</t>
  </si>
  <si>
    <t>D-10, D-13</t>
  </si>
  <si>
    <t>KT-15</t>
  </si>
  <si>
    <t>Module 1 › Chi phí thực hiện HĐ (bổ sung Hoa hồng)</t>
  </si>
  <si>
    <t>Hoa hồng kinh doanh của khách</t>
  </si>
  <si>
    <t>• Ghi là 1 Chi phí thực hiện HĐ loại "Hoa hồng kinh doanh", có Người nhận, Nguồn tiền (thường Tiền mặt).
• Liên kết Quỹ nội bộ: khi duyệt trừ thẳng vào Nguồn tiền đã chọn; Sổ quỹ ở chế độ Xem gộp hiển thị dòng này.
• "Tiền trả khách" ở Tab 3 HĐ Bán chính là các dòng hoa hồng này.</t>
  </si>
  <si>
    <t>• KHÔNG tạo thêm phiếu Chi ở Sổ Quỹ chung (tránh trừ quỹ 2 lần).
• Cảnh báo nếu tổng hoa hồng của HĐ &gt; Chênh lệch − Thuế TNDN.</t>
  </si>
  <si>
    <t>KT-13, HDB-09</t>
  </si>
  <si>
    <t>D-03, D-14</t>
  </si>
  <si>
    <t>KT-16</t>
  </si>
  <si>
    <t>Module 1 › Chi phí thực hiện HĐ (Quyết toán vận chuyển)</t>
  </si>
  <si>
    <t>HĐ Bán › Tab 4 / Kế toán › Báo cáo</t>
  </si>
  <si>
    <t>Quyết toán vận chuyển theo từng HĐ</t>
  </si>
  <si>
    <t>• Chọn Số HĐ → bảng các chi phí loại Vận chuyển: Ngày, Nội dung, Đơn vị vận chuyển, Số tiền, Nguồn tiền, Trạng thái.
• Tổng đã duyệt / chờ duyệt; nút In quyết toán (A4) có chỗ ký Người lập, Kế toán, Giám đốc.</t>
  </si>
  <si>
    <t>• Lấy từ ChiPhiThucHienHD, không tạo bảng mới, không cần duyệt riêng.</t>
  </si>
  <si>
    <t>D-15</t>
  </si>
  <si>
    <t>KT-17</t>
  </si>
  <si>
    <t>Module 1 › Công nợ 2 chiều</t>
  </si>
  <si>
    <t>Kế toán › tab Công nợ › Phải thu</t>
  </si>
  <si>
    <t>Báo cáo Công nợ phải thu</t>
  </si>
  <si>
    <t>• Theo từng HĐ Bán: Số HĐ, Khách hàng, Giá trị sau VAT, Đã thu, Còn phải thu, Hạn đợt gần nhất, Số ngày quá hạn.
• Gộp theo khách hàng; tổng toàn bộ.</t>
  </si>
  <si>
    <t>• Còn phải thu = Giá trị HĐ Bán sau VAT − Σ Số tiền thực thu các đợt.
• Không có bảng nhập tay, không có bút toán điều chỉnh rời — muốn sửa thì sửa đợt thanh toán trong HĐ gốc.
• Không tính HĐ Báo giá.</t>
  </si>
  <si>
    <t>HopDongBan, HopDongBan_DotTT</t>
  </si>
  <si>
    <t>HDB-10</t>
  </si>
  <si>
    <t>KT-18</t>
  </si>
  <si>
    <t>Kế toán › tab Công nợ › Phải trả</t>
  </si>
  <si>
    <t>Báo cáo Công nợ phải trả</t>
  </si>
  <si>
    <t>• Theo từng HĐ Mua: Số HĐ, NCC, Giá trị HĐ, Đã trả, Còn phải trả, Hạn đợt gần nhất.
• Gộp theo NCC; tổng toàn bộ.</t>
  </si>
  <si>
    <t>• Còn phải trả = Giá trị HĐ Mua − Σ Số tiền đã trả NCC các đợt.
• Không tính HĐ Mua có cờ "Thuộc Phú Tài".
• Không có bút toán điều chỉnh rời.</t>
  </si>
  <si>
    <t>HopDongMua, HopDongMua_DotTT</t>
  </si>
  <si>
    <t>HDM-08</t>
  </si>
  <si>
    <t>D-20</t>
  </si>
  <si>
    <t>HDB-01</t>
  </si>
  <si>
    <t>2. Kinh doanh</t>
  </si>
  <si>
    <t>Module 2 › HopDongBan</t>
  </si>
  <si>
    <t>Hợp đồng bán › Danh sách</t>
  </si>
  <si>
    <t>Danh sách Hợp đồng bán</t>
  </si>
  <si>
    <t>• Cột: Số HĐ, Khách hàng, Ngày ký, Giá trị sau VAT, Đã thu (%), Còn phải thu, Giao hàng (Chưa/Đang/Đã), Hồ sơ (đủ/thiếu), Sale phụ trách, Trạng thái.
• Nút: + Tạo HĐ bán; bấm dòng mở chi tiết 5 tab.
• Lọc: bộ lọc chuẩn + Trạng thái, Sale phụ trách, Hồ sơ thiếu.</t>
  </si>
  <si>
    <t>• Sale chỉ thấy HĐ mình phụ trách; Admin, Kế toán, Giám đốc thấy tất cả.
• Trạng thái hiển thị bằng nhãn màu.</t>
  </si>
  <si>
    <t>HopDongBan</t>
  </si>
  <si>
    <t>HDB-02</t>
  </si>
  <si>
    <t>Module 2 › HopDongBan › Tab 1</t>
  </si>
  <si>
    <t>HĐ bán › Tab 1 Thông tin chung</t>
  </si>
  <si>
    <t>Thông tin chung HĐ Bán</t>
  </si>
  <si>
    <t>Trường: Số HĐ bán, Khách hàng (chọn từ danh mục, tự điền Tên/MST/Địa chỉ), Ngày ký, Ngày hiệu lực, Trạng thái, Sale phụ trách, Ghi chú.
• Nút Lưu; khu "Giao hàng" (HDB-04).</t>
  </si>
  <si>
    <t>• Số HĐ bán bắt buộc, duy nhất.
• Ngày hiệu lực ≥ Ngày ký.
• Tên/MST/Địa chỉ lưu bản sao tại thời điểm ký (sửa danh mục không làm đổi HĐ cũ).</t>
  </si>
  <si>
    <t>HDB-13</t>
  </si>
  <si>
    <t>D-24</t>
  </si>
  <si>
    <t>HDB-03</t>
  </si>
  <si>
    <t>HĐ bán › Tab 1</t>
  </si>
  <si>
    <t>Luồng trạng thái HĐ Bán</t>
  </si>
  <si>
    <t>Báo giá → Hiệu lực → Đang giao hàng → Hoàn thành → Đã tất toán.
• Nút chuyển trạng thái kế tiếp; hiển thị điều kiện còn thiếu.</t>
  </si>
  <si>
    <t>• → Hiệu lực: bắt buộc Số HĐ, Ngày ký, Giá trị HĐ.
• → Đang giao hàng: tự chuyển khi có lần giao đầu tiên.
• → Hoàn thành: người dùng chuyển khi đã giao đủ.
• → Đã tất toán: Còn phải thu = 0 VÀ hồ sơ bắt buộc đã lưu (HĐ, BBGH/BBNT, Hoá đơn) VÀ không còn chi phí Chờ duyệt.
• Đã tất toán → khoá toàn bộ HĐ; mở lại chỉ Giám đốc.</t>
  </si>
  <si>
    <t>HDB-02, HDB-04, HDB-05, HDB-10</t>
  </si>
  <si>
    <t>D-05</t>
  </si>
  <si>
    <t>App hiện tại dùng 4 giai đoạn Báo giá → Chờ HĐ → Đang thực hiện → Kết thúc.</t>
  </si>
  <si>
    <t>HDB-04</t>
  </si>
  <si>
    <t>Module 2 › HopDongBan (đánh dấu đã giao hàng)</t>
  </si>
  <si>
    <t>HĐ bán › Tab 1 › Giao hàng</t>
  </si>
  <si>
    <t>Đánh dấu đã giao hàng → sinh phiếu Xuất kho</t>
  </si>
  <si>
    <t>• Nút "Ghi nhận giao hàng" mở popup: Ngày giao, Vị trí kho (gồm "Chuyển thẳng — không qua kho"), các dòng Loại hàng + thuộc tính + Số lượng (gợi ý sẵn từ HĐ Mua liên quan).
• Xác nhận → tự sinh 1 phiếu Xuất kho (Nguồn gốc: Tự động từ HĐ Bán).
• Danh sách các lần giao: Ngày, Số phiếu XK, Kho, Số lượng.</t>
  </si>
  <si>
    <t>• Giao nhiều lần được; mỗi lần = 1 phiếu.
• Cảnh báo (không chặn) khi số lượng xuất &gt; tồn tại kho đã chọn.
• Huỷ một lần giao = gửi yêu cầu xoá phiếu XK (NT-11).</t>
  </si>
  <si>
    <t>HopDongBan, PhieuKho</t>
  </si>
  <si>
    <t>HDB-02, KHO-05</t>
  </si>
  <si>
    <t>D-06</t>
  </si>
  <si>
    <t>HDB-05</t>
  </si>
  <si>
    <t>Module 2 › HopDongBan › Tab 2</t>
  </si>
  <si>
    <t>HĐ bán › Tab 2 Lưu trữ hồ sơ</t>
  </si>
  <si>
    <t>Lưu trữ hồ sơ HĐ Bán</t>
  </si>
  <si>
    <t>• 4 nhóm: Hợp đồng · BBGH/BBNT · Hoá đơn · Scan hồ sơ khác; mỗi nhóm có vùng upload, thumbnail, cờ Đã lưu / Đã scan.
• Ô "Ghi chú hồ sơ thiếu".
• Nút Tải tất cả (.zip).</t>
  </si>
  <si>
    <t>• Bắt buộc có thao tác lưu và scan: thiếu hồ sơ bắt buộc → chặn chuyển "Đã tất toán"; ở "Hoàn thành" chỉ cảnh báo.
• Danh sách HĐ hiện nhãn "Thiếu hồ sơ".</t>
  </si>
  <si>
    <t>HDB-06</t>
  </si>
  <si>
    <t>Module 2 › HopDongBan › Tab 2 (Hoá đơn)</t>
  </si>
  <si>
    <t>HĐ bán › Tab 2 › Hoá đơn</t>
  </si>
  <si>
    <t>Theo dõi hoá đơn đã xuất</t>
  </si>
  <si>
    <t>• Bảng con: Số hoá đơn, Ngày hoá đơn, Giá trị (sau VAT), File hoá đơn.
• Tổng giá trị đã xuất hoá đơn và Còn phải xuất = Giá trị HĐ sau VAT − Tổng đã xuất.</t>
  </si>
  <si>
    <t>• Số hoá đơn + Ngày hoá đơn bắt buộc khi thêm dòng.
• 1 HĐ có nhiều hoá đơn.</t>
  </si>
  <si>
    <t>HoaDon</t>
  </si>
  <si>
    <t>HDB-07</t>
  </si>
  <si>
    <t>Module 2 › HopDongBan › Tab 3</t>
  </si>
  <si>
    <t>HĐ bán › Tab 3 Giá trị &amp; Thanh toán</t>
  </si>
  <si>
    <t>Giá trị HĐ &amp; Chênh lệch</t>
  </si>
  <si>
    <t>Trường: Tổng GTHĐ trước VAT, VAT (0/8/10%), Tổng GTHĐ sau VAT (tự tính), GTHĐ thực tế trước VAT, Chênh lệch (tự tính), Tỷ lệ chênh lệch (tự tính).</t>
  </si>
  <si>
    <t>• Sau VAT = Trước VAT × (1 + VAT%).
• Chênh lệch = Tổng GTHĐ trước VAT − GTHĐ thực tế trước VAT.
• Tỷ lệ chênh lệch = Chênh lệch ÷ GTHĐ thực tế trước VAT.
• Ô tự tính chỉ đọc, hiện công thức khi rê chuột.</t>
  </si>
  <si>
    <t>D-02</t>
  </si>
  <si>
    <t>HDB-08</t>
  </si>
  <si>
    <t>HĐ bán › Tab 3</t>
  </si>
  <si>
    <t>Thuế TNDN trên chênh lệch (tự tính)</t>
  </si>
  <si>
    <t>Thuế TNDN tính lũy tiến trên Chênh lệch, mốc = 20% × GTHĐ thực tế trước VAT:
• Phần chênh lệch đến mốc chịu 25%.
• Phần vượt mốc chịu 50%.
Công thức: Thuế = MIN(CL, 20%×GTTT)×25% + MAX(CL − 20%×GTTT, 0)×50%.
VD: GTTT 100tr, CL 30tr → 20tr×25% + 10tr×50% = 10tr.</t>
  </si>
  <si>
    <t>• Chênh lệch ≤ 0 → Thuế = 0.
• Ngưỡng và 2 mức lấy từ Tham số cấu hình (NT-14), lưu theo HĐ khi tạo.
• Hiển thị từng bước tính.</t>
  </si>
  <si>
    <t>HDB-07, NT-14</t>
  </si>
  <si>
    <t>D-01</t>
  </si>
  <si>
    <t>App hiện tại gọi khoản này là "Phí quản lý", tính đúng theo công thức này.</t>
  </si>
  <si>
    <t>HDB-09</t>
  </si>
  <si>
    <t>Tiền trả khách (hoa hồng)</t>
  </si>
  <si>
    <t>• Bảng con: Người nhận, Số tiền, Ngày chi, Nguồn tiền, Trạng thái duyệt.
• Thêm dòng → tạo 1 Chi phí thực hiện HĐ loại "Hoa hồng kinh doanh" (KT-15), trạng thái Chờ duyệt.
• Hiện Tổng tiền trả khách và mức gợi ý tối đa = Chênh lệch − Thuế TNDN.</t>
  </si>
  <si>
    <t>• Dữ liệu lưu ở ChiPhiThucHienHD (1 nguồn), Tab 3 chỉ hiển thị và tạo nhanh.
• Dòng đã duyệt chỉ xem.</t>
  </si>
  <si>
    <t>HDB-08, KT-15</t>
  </si>
  <si>
    <t>D-03</t>
  </si>
  <si>
    <t>Module 2 › HopDongBan › Tab 3 + Module 2 (tối đa 3 đợt)</t>
  </si>
  <si>
    <t>Đợt thanh toán &amp; Công nợ phải thu</t>
  </si>
  <si>
    <t>• Tối đa 3 đợt, hiện dần (điền đợt 1 mới hiện đợt 2).
• Mỗi đợt: Tỷ lệ %, Số tiền (tự tính từ % hoặc nhập), Hạn thanh toán, Ngày thực thu, Số tiền thực thu, Nguồn tiền nhận, Ghi chú.
• Công nợ phải thu hiện ngay tại tab.</t>
  </si>
  <si>
    <t>• Σ Số tiền các đợt = Tổng GTHĐ sau VAT (cảnh báo nếu lệch).
• Ngày thực thu + Số tiền thực thu do Kế toán nhập.
• Còn phải thu = Sau VAT − Σ Số tiền thực thu.
• Đợt quá hạn (quá Hạn mà chưa thu đủ) tô đỏ.</t>
  </si>
  <si>
    <t>HopDongBan_DotTT</t>
  </si>
  <si>
    <t>D-04</t>
  </si>
  <si>
    <t>Q-05</t>
  </si>
  <si>
    <t>App hiện tại không giới hạn số đợt.</t>
  </si>
  <si>
    <t>HDB-11</t>
  </si>
  <si>
    <t>Module 2 › HopDongBan › Tab 4</t>
  </si>
  <si>
    <t>HĐ bán › Tab 4 Chi phí thực hiện</t>
  </si>
  <si>
    <t>Chi phí thực hiện &amp; Lợi nhuận gộp tạm tính</t>
  </si>
  <si>
    <t>• Danh sách ChiPhiThucHienHD lọc theo HĐ (chỉ xem; nhập ở màn Kế toán): Ngày, Loại, Nội dung, Số tiền, Trạng thái.
• Tổng chi phí đã duyệt; nút mở Quyết toán vận chuyển (KT-16).
• Lợi nhuận gộp tạm tính hiển thị từng bước.</t>
  </si>
  <si>
    <t>• LN gộp tạm tính = GTHĐ trước VAT − Giá vốn − Tổng chi phí thực hiện (Đã duyệt).
• Giá vốn = Σ giá trị xuất kho gốc của HĐ (KHO-10); nếu chưa xuất kho thì tạm lấy Σ giá trị HĐ Mua liên quan (VNĐ, trước VAT).
• LN sau thuế = LN gộp − Thuế TNDN.</t>
  </si>
  <si>
    <t>Xem</t>
  </si>
  <si>
    <t>KT-12, KHO-10, HDB-08</t>
  </si>
  <si>
    <t>D-16</t>
  </si>
  <si>
    <t>HDB-12</t>
  </si>
  <si>
    <t>Module 2 › HopDongBan › Tab 5</t>
  </si>
  <si>
    <t>HĐ bán › Tab 5 HĐ mua liên quan</t>
  </si>
  <si>
    <t>Danh sách HĐ Mua liên quan</t>
  </si>
  <si>
    <t>• Danh sách HopDongMua có "HĐ bán liên quan" = HĐ này: Số HĐ mua, NCC, Giá trị VNĐ, Đã trả, Trạng thái nhập hàng.
• Bấm dòng mở HĐ Mua.</t>
  </si>
  <si>
    <t>• Chỉ xem; liên kết tạo ở HĐ Mua (HDM-02).</t>
  </si>
  <si>
    <t>HopDongMua</t>
  </si>
  <si>
    <t>HDM-02</t>
  </si>
  <si>
    <t>Còn cần chốt › Phân quyền (Sales xem Khách hàng)</t>
  </si>
  <si>
    <t>Danh mục › Khách hàng</t>
  </si>
  <si>
    <t>Danh mục Khách hàng</t>
  </si>
  <si>
    <t>• Trường: Mã KH (tự sinh KH0001), Tên, MST, Địa chỉ, Người liên hệ, Điện thoại, Email, Ghi chú.
• Danh sách + tìm kiếm; xem các HĐ của khách.</t>
  </si>
  <si>
    <t>• MST duy nhất (cảnh báo trùng tên/MST khi thêm).
• Sale xem và thêm/sửa khách hàng; xoá qua duyệt xoá.</t>
  </si>
  <si>
    <t>DM_KhachHang</t>
  </si>
  <si>
    <t>HDM-01</t>
  </si>
  <si>
    <t>Module 2 › HopDongMua</t>
  </si>
  <si>
    <t>Hợp đồng mua › Danh sách</t>
  </si>
  <si>
    <t>Danh sách Hợp đồng mua</t>
  </si>
  <si>
    <t>• Cột: Số HĐ mua, NCC, Ngày ký, Giá trị VNĐ, Đã trả (%), Còn phải trả, Nhập hàng (%), HĐ bán liên quan, Thuộc Phú Tài, Trạng thái.
• Lọc: bộ lọc chuẩn + Trạng thái, NCC, Thuộc Phú Tài.</t>
  </si>
  <si>
    <t>• Admin, Kế toán, Giám đốc xem tất cả; Kho xem để nhập hàng.</t>
  </si>
  <si>
    <t>Module 2 › HopDongMua › Tab 1</t>
  </si>
  <si>
    <t>HĐ mua › Tab 1 Thông tin chung</t>
  </si>
  <si>
    <t>Thông tin chung HĐ Mua</t>
  </si>
  <si>
    <t>Trường: Số HĐ mua, NCC (chọn từ danh mục, tự điền Tên/Địa chỉ/MST), Ngày ký, HĐ bán liên quan (tuỳ chọn), Thuộc Phú Tài (cờ), Trạng thái, Ghi chú.</t>
  </si>
  <si>
    <t>• Số HĐ mua bắt buộc, duy nhất.
• HĐ bán liên quan tuỳ chọn vì có thể mua nhập kho trước khi gắn đơn bán.
• Cờ "Thuộc Phú Tài" bật → HĐ không tính công nợ phải trả và không sinh phiếu nhập kho của Oxy; chỉ dùng làm giá đầu vào cho HĐ Phú Tài.</t>
  </si>
  <si>
    <t>HDM-10, HDB-02</t>
  </si>
  <si>
    <t>HDM-03</t>
  </si>
  <si>
    <t>HĐ mua › Tab 1</t>
  </si>
  <si>
    <t>Luồng trạng thái HĐ Mua</t>
  </si>
  <si>
    <t>Nháp → Đã ký → Đang nhận hàng → Đã nhận đủ → Đã tất toán (+ Huỷ).</t>
  </si>
  <si>
    <t>• → Đã ký: bắt buộc Số HĐ, NCC, Ngày ký, có ít nhất 1 dòng hàng hoặc tổng giá trị.
• → Đang nhận hàng: tự chuyển khi có phiếu nhập đầu tiên.
• → Đã nhận đủ: tự chuyển khi mọi dòng SL đã nhập = SL.
• → Đã tất toán: Còn phải trả = 0 và Xuất hoá đơn = Đã.
• Huỷ chỉ khi chưa có phiếu nhập và chưa trả tiền.</t>
  </si>
  <si>
    <t>HDM-02, HDM-06, HDM-08</t>
  </si>
  <si>
    <t>D-08</t>
  </si>
  <si>
    <t>HDM-04</t>
  </si>
  <si>
    <t>Module 2 › HopDongMua › Tab 2</t>
  </si>
  <si>
    <t>HĐ mua › Tab 2 Lưu trữ hồ sơ</t>
  </si>
  <si>
    <t>Lưu trữ hồ sơ HĐ Mua</t>
  </si>
  <si>
    <t>Giống Tab 2 bên Bán: Hợp đồng · BBGH/BBNT · Hoá đơn (Số, Ngày) · Scan khác; cờ Đã lưu / Đã scan; Ghi chú hồ sơ thiếu; tải .zip.</t>
  </si>
  <si>
    <t>• Cùng quy tắc HDB-05/HDB-06.</t>
  </si>
  <si>
    <t>HoSo, HoaDon</t>
  </si>
  <si>
    <t>HDM-05</t>
  </si>
  <si>
    <t>Module 2 › HopDongMua › Tab 3</t>
  </si>
  <si>
    <t>HĐ mua › Tab 3 Chi tiết hàng hoá</t>
  </si>
  <si>
    <t>Chi tiết hàng hoá (đa tiền tệ)</t>
  </si>
  <si>
    <t>Bảng con nhiều dòng: Loại hàng (chọn từ danh mục), Tên hàng, Thông số (nồng độ / thể tích / áp suất), Số lượng, Đơn vị tính, Đơn giá, Loại tiền (VNĐ / USD / RMB), Tỷ giá, Thành tiền VNĐ (tự tính), SL đã nhập (tự tính), Ghi chú.
• Thêm/xoá dòng; dán nhiều dòng từ Excel.</t>
  </si>
  <si>
    <t>• Thành tiền VNĐ = Số lượng × Đơn giá × Tỷ giá (VNĐ → tỷ giá = 1, khoá ô).
• Tỷ giá bắt buộc khi USD/RMB.
• Dòng đã có phiếu nhập không xoá được.</t>
  </si>
  <si>
    <t>HopDongMua_ChiTiet</t>
  </si>
  <si>
    <t>KHO-02</t>
  </si>
  <si>
    <t>Q-01</t>
  </si>
  <si>
    <t>App hiện tại đặt tỷ giá ở cấp HĐ, không theo dòng.</t>
  </si>
  <si>
    <t>HDM-06</t>
  </si>
  <si>
    <t>Module 2 › HopDongMua (đánh dấu đã nhập kho)</t>
  </si>
  <si>
    <t>HĐ mua › Tab 3</t>
  </si>
  <si>
    <t>Đánh dấu đã nhập kho → sinh phiếu Nhập kho</t>
  </si>
  <si>
    <t>• Mỗi dòng hàng có nút "Nhập kho": popup chọn Ngày, Vị trí kho (gồm "Chuyển thẳng"), SL thực nhập (mặc định = SL còn lại).
• Xác nhận → tự sinh phiếu Nhập kho (Nguồn gốc: Tự động từ HĐ Mua); chọn nhiều dòng → 1 phiếu.
• Dòng nhập đủ hiện dấu ✓ "Đã nhập kho".</t>
  </si>
  <si>
    <t>• Cho nhập 1 phần, nhiều lần.
• SL thực nhập ≤ SL còn lại.
• HĐ "Thuộc Phú Tài" không có nút này.
• Bỏ nhập = yêu cầu xoá phiếu nhập qua duyệt (NT-11).</t>
  </si>
  <si>
    <t>HopDongMua_ChiTiet, PhieuKho</t>
  </si>
  <si>
    <t>HDM-05, KHO-04</t>
  </si>
  <si>
    <t>D-07, D-20</t>
  </si>
  <si>
    <t>HDM-07</t>
  </si>
  <si>
    <t>Module 2 › HopDongMua › Tab 4</t>
  </si>
  <si>
    <t>HĐ mua › Tab 4 Thanh toán NCC</t>
  </si>
  <si>
    <t>Tổng giá trị HĐ Mua</t>
  </si>
  <si>
    <t>• Tổng giá trị HĐ (VNĐ) = Σ Thành tiền VNĐ các dòng (Tab 3), hoặc bật "Nhập tay" để nhập số khác.
• Hiện cả tổng theo nguyên tệ nếu HĐ ngoại tệ.</t>
  </si>
  <si>
    <t>• Nhập tay bắt buộc ghi lý do; hiển thị chênh lệch so với tổng các dòng.</t>
  </si>
  <si>
    <t>HĐ mua › Tab 4</t>
  </si>
  <si>
    <t>Đợt thanh toán NCC &amp; Công nợ phải trả</t>
  </si>
  <si>
    <t>• Tối đa 3 đợt, hiện dần. Mỗi đợt: Số tiền, Hạn trả, Ngày đã trả, Số tiền đã trả, Nguồn tiền, Ghi chú.
• Công nợ phải trả hiện ngay tại tab.</t>
  </si>
  <si>
    <t>• Còn phải trả = Tổng giá trị HĐ − Σ Số tiền đã trả.
• Ghi nhận trả tiền NCC → tạo phiếu Chi ở Sổ quỹ (Chờ duyệt) để trừ quỹ; đợt chỉ tính "đã trả" khi phiếu được duyệt.
• HĐ "Thuộc Phú Tài": các đợt do Phú Tài trả, không tạo phiếu chi Oxy.</t>
  </si>
  <si>
    <t>HopDongMua_DotTT, PhieuThuChi</t>
  </si>
  <si>
    <t>HDM-07, KT-05</t>
  </si>
  <si>
    <t>D-04, D-20</t>
  </si>
  <si>
    <t>HDM-09</t>
  </si>
  <si>
    <t>Xuất hoá đơn &amp; Tiến độ hàng hoá</t>
  </si>
  <si>
    <t>• Xuất hoá đơn (Đã / Chưa): NCC đã xuất hoá đơn cho Oxy chưa; khi Đã → nhập Số + Ngày hoá đơn (Tab 2).
• Checklist tiến độ: Đã đặt hàng · Đã thanh toán đợt 1 · Hàng đã về · Đã kiểm định · Đã nhập kho (tích + ngày).</t>
  </si>
  <si>
    <t>• Xuất hoá đơn = Đã là điều kiện "Đã tất toán".</t>
  </si>
  <si>
    <t>HDM-10</t>
  </si>
  <si>
    <t>Module 2 › HopDongMua (Tên NCC, MST, Địa chỉ)</t>
  </si>
  <si>
    <t>Danh mục › Nhà cung cấp</t>
  </si>
  <si>
    <t>Danh mục Nhà cung cấp</t>
  </si>
  <si>
    <t>• Trường: Mã NCC (tự sinh NCC0001), Tên, MST, Địa chỉ, Quốc gia, Người liên hệ, Điện thoại, Email, Ghi chú.</t>
  </si>
  <si>
    <t>• MST duy nhất với NCC trong nước (cảnh báo trùng).
• Xoá qua duyệt xoá.</t>
  </si>
  <si>
    <t>DM_NCC</t>
  </si>
  <si>
    <t>KHO-01</t>
  </si>
  <si>
    <t>3. Kho</t>
  </si>
  <si>
    <t>Module 3 › DM_Kho + Còn cần chốt</t>
  </si>
  <si>
    <t>Kho › Danh mục kho</t>
  </si>
  <si>
    <t>Danh mục Kho / Vị trí</t>
  </si>
  <si>
    <t>• Trường: Mã kho, Tên / địa điểm, Loại (Kho thường / Chuyển thẳng), Đang dùng.
• Dữ liệu ban đầu: Kho Toàn Cầu, Kho Phú Tài, Kho Huy Thịnh + giá trị hệ thống "Chuyển thẳng — không qua kho".
• Cho tự thêm kho mới.</t>
  </si>
  <si>
    <t>• "Để tại Phú Tài" trong spec = Kho Phú Tài.
• "Chuyển thẳng" không xoá/sửa được.
• Không xoá kho đã có phiếu — chỉ ngưng.</t>
  </si>
  <si>
    <t>DM_Kho</t>
  </si>
  <si>
    <t>D-18</t>
  </si>
  <si>
    <t>Module 3 + Còn cần chốt › DM_LoaiHang</t>
  </si>
  <si>
    <t>Kho › Danh mục loại hàng</t>
  </si>
  <si>
    <t>Danh mục Loại hàng &amp; thuộc tính biến thể</t>
  </si>
  <si>
    <t>• Trường: Mã loại hàng, Tên, Nhóm (Vỏ bình / Thiết bị tái sử dụng / Phụ kiện), Đơn vị tính, Thuộc tính áp dụng (nồng độ / thể tích / áp suất…), Đang dùng.
• Khí bên trong pha theo đơn → không tạo SKU theo khí; biến thể = Loại hàng × giá trị thuộc tính.</t>
  </si>
  <si>
    <t>• Mã duy nhất.
• Giá trị thuộc tính nhập khi lập phiếu/dòng hàng; chuẩn hoá cách ghi (VD: "10L", "150bar").</t>
  </si>
  <si>
    <t>DM_LoaiHang</t>
  </si>
  <si>
    <t>KHO-03</t>
  </si>
  <si>
    <t>Module 3 › Phiếu Nhập kho / Xuất kho</t>
  </si>
  <si>
    <t>Kho › Phiếu nhập / Phiếu xuất</t>
  </si>
  <si>
    <t>Danh sách phiếu kho</t>
  </si>
  <si>
    <t>• 2 tab Phiếu nhập / Phiếu xuất. Cột: Số phiếu, Ngày, Nguồn gốc, Số HĐ liên quan, Vị trí kho, Số dòng hàng, Tổng SL, Người thực hiện, Trạng thái.
• Lọc: bộ lọc chuẩn + Kho, Nguồn gốc, Số HĐ.
• Bấm dòng xem chi tiết; In phiếu.</t>
  </si>
  <si>
    <t>• Số phiếu NK{yy}-{nnnn} / XK{yy}-{nnnn}.</t>
  </si>
  <si>
    <t>PhieuKho</t>
  </si>
  <si>
    <t>KHO-04, KHO-05, KHO-06</t>
  </si>
  <si>
    <t>KHO-04</t>
  </si>
  <si>
    <t>Module 3 › Nhập kho tự động</t>
  </si>
  <si>
    <t>Phiếu Nhập kho tự động từ HĐ Mua</t>
  </si>
  <si>
    <t>Sinh từ HDM-06 với: Ngày, Loại = Nhập, Nguồn gốc = Tự động từ HĐ Mua, Số HĐ mua, Vị trí kho, các dòng Loại hàng + thuộc tính + SL, Người thực hiện = người bấm.</t>
  </si>
  <si>
    <t>• Phiếu tự động không sửa số lượng; chỉ sửa Ngày, Ghi chú; huỷ qua duyệt xoá.
• Cập nhật SL đã nhập trên dòng HĐ Mua.</t>
  </si>
  <si>
    <t>PhieuKho, PhieuKho_ChiTiet</t>
  </si>
  <si>
    <t>D-07, D-32</t>
  </si>
  <si>
    <t>KHO-05</t>
  </si>
  <si>
    <t>Module 3 › Xuất kho tự động</t>
  </si>
  <si>
    <t>Phiếu Xuất kho tự động từ HĐ Bán</t>
  </si>
  <si>
    <t>Sinh từ HDB-04 với: Ngày giao, Loại = Xuất, Nguồn gốc = Tự động từ HĐ Bán, Số HĐ bán, Vị trí kho, các dòng hàng + SL, Người thực hiện.</t>
  </si>
  <si>
    <t>• Phiếu tự động không sửa số lượng; huỷ qua duyệt xoá.
• Tính giá gốc từng dòng khi lập (KHO-10).</t>
  </si>
  <si>
    <t>D-06, D-32</t>
  </si>
  <si>
    <t>KHO-06</t>
  </si>
  <si>
    <t>Module 3 › Phiếu (nhập tay — điều chỉnh)</t>
  </si>
  <si>
    <t>Popup Lập phiếu kho</t>
  </si>
  <si>
    <t>Phiếu Nhập / Xuất nhập tay (điều chỉnh)</t>
  </si>
  <si>
    <t>Trường: Ngày, Loại (Nhập / Xuất), Nguồn gốc = Nhập tay – điều chỉnh, Số HĐ liên quan (tuỳ chọn), Vị trí kho, dòng Loại hàng + thuộc tính + SL, Lý do điều chỉnh (bắt buộc), Ghi chú, Người thực hiện.</t>
  </si>
  <si>
    <t>• Chỉ vai trò Kho / Giám đốc.
• Dùng cho kiểm kê, hàng mượn trả, sai lệch.
• Xuất tay cảnh báo nếu vượt tồn.</t>
  </si>
  <si>
    <t>KHO-01, KHO-02</t>
  </si>
  <si>
    <t>D-32</t>
  </si>
  <si>
    <t>App hiện tại chưa có phiếu điều chỉnh tay.</t>
  </si>
  <si>
    <t>KHO-07</t>
  </si>
  <si>
    <t>Module 3 › DM_Kho (Chuyển thẳng)</t>
  </si>
  <si>
    <t>Phiếu kho</t>
  </si>
  <si>
    <t>Hàng chuyển thẳng — không qua kho</t>
  </si>
  <si>
    <t>• Phiếu chọn Vị trí kho = "Chuyển thẳng" (hàng đi thẳng từ NCC tới công trình/khách) vẫn được lưu để truy vết theo HĐ.</t>
  </si>
  <si>
    <t>• Không cộng/trừ tồn kho ở bất kỳ vị trí nào.
• Trong báo cáo tồn hiển thị riêng mục "Chuyển thẳng" (chỉ để tham khảo).</t>
  </si>
  <si>
    <t>Quy tắc nghiệp vụ</t>
  </si>
  <si>
    <t>KHO-08</t>
  </si>
  <si>
    <t>Huỷ phiếu kho</t>
  </si>
  <si>
    <t>• Nút Xoá trên phiếu → yêu cầu xoá (NT-11); duyệt xong phiếu chuyển "Đã huỷ" và tồn tính lại.</t>
  </si>
  <si>
    <t>• Huỷ phiếu tự động → cập nhật lại SL đã nhập (HĐ Mua) / danh sách lần giao (HĐ Bán).</t>
  </si>
  <si>
    <t>PhieuKho, YeuCauXoa</t>
  </si>
  <si>
    <t>KHO-09</t>
  </si>
  <si>
    <t>Module 3 › Tồn kho</t>
  </si>
  <si>
    <t>Kho › Tồn kho</t>
  </si>
  <si>
    <t>Báo cáo Tồn kho theo biến thể × vị trí</t>
  </si>
  <si>
    <t>• Bảng: Loại hàng, Thuộc tính, Vị trí kho, Tổng nhập, Tổng xuất, Tồn.
• Xem gộp theo Loại hàng (tất cả kho) hoặc theo Kho.
• Bấm dòng xem thẻ kho (lịch sử phiếu).</t>
  </si>
  <si>
    <t>• Tồn = Σ SL Nhập − Σ SL Xuất tại vị trí đó, theo từng tổ hợp Loại hàng × thuộc tính × Vị trí kho.
• Không tính phiếu Đã huỷ và phiếu Chuyển thẳng.
• Tồn âm tô đỏ.</t>
  </si>
  <si>
    <t>KHO-03, KHO-07</t>
  </si>
  <si>
    <t>KHO-10</t>
  </si>
  <si>
    <t>Module 3 › Kho link HĐ thực hiện</t>
  </si>
  <si>
    <t>Kho › Giá trị theo HĐ</t>
  </si>
  <si>
    <t>Giá trị thực hiện gốc theo HĐ</t>
  </si>
  <si>
    <t>• Mỗi dòng phiếu Xuất gắn Số HĐ bán → tính Đơn giá gốc và Thành tiền gốc.
• Báo cáo theo HĐ: các mặt hàng đã xuất, SL, giá gốc, tổng giá trị thực hiện gốc.</t>
  </si>
  <si>
    <t>• Đơn giá gốc: nếu HĐ Bán có HĐ Mua liên quan chứa đúng loại hàng → lấy đơn giá VNĐ của dòng HĐ Mua đó (đích danh); ngược lại → bình quân gia quyền theo Loại hàng + thuộc tính + Kho tại thời điểm xuất.
• Hàng ngoại tệ dùng tỷ giá lúc mua (đã lưu ở HĐ Mua).
• Kết quả dùng làm Giá vốn ở HDB-11.</t>
  </si>
  <si>
    <t>PhieuKho_ChiTiet, HopDongMua_ChiTiet</t>
  </si>
  <si>
    <t>KHO-05, HDM-05</t>
  </si>
  <si>
    <t>D-19</t>
  </si>
  <si>
    <t>App hiện tại tính giá vốn ở màn Báo cáo, không từ phiếu kho.</t>
  </si>
  <si>
    <t>PT-01</t>
  </si>
  <si>
    <t>4. Phú Tài</t>
  </si>
  <si>
    <t>Module 4 › HopDongPhuTai</t>
  </si>
  <si>
    <t>Phú Tài › Danh sách</t>
  </si>
  <si>
    <t>Danh sách HĐ Phú Tài</t>
  </si>
  <si>
    <t>• Thẻ KPI: Số HĐ, Tổng giá bán, Tổng Oxy được hưởng, Số dư quỹ ảo Phú Tài.
• Cột: Số HĐ, Khách hàng cuối, Ngày ký, Giá bán trước VAT, Giá đầu vào, LN trước thuế, LN thực Oxy, KH đã trả PT (%), Trạng thái.
• Lọc: bộ lọc chuẩn + Trạng thái.</t>
  </si>
  <si>
    <t>• Module riêng hoàn toàn, có màn và bảng riêng.</t>
  </si>
  <si>
    <t>HopDongPhuTai</t>
  </si>
  <si>
    <t>App hiện tại tạo HĐ Phú Tài trong màn HĐ Bán (kênh Phú Tài).</t>
  </si>
  <si>
    <t>PT-02</t>
  </si>
  <si>
    <t>Module 4 › Tab 1</t>
  </si>
  <si>
    <t>HĐ Phú Tài › Tab 1 Thông tin chung</t>
  </si>
  <si>
    <t>Thông tin chung &amp; Lưu trữ hồ sơ</t>
  </si>
  <si>
    <t>Trường: Số HĐ, Tên khách hàng cuối (chọn danh mục KH), MST, Ngày ký, Ngày hiệu lực, Trạng thái, Ghi chú.
• Khu Lưu trữ hồ sơ dùng thành phần NT-12 (Hợp đồng, BBGH/BBNT, Hoá đơn do Phú Tài xuất, Scan).</t>
  </si>
  <si>
    <t>• Số HĐ bắt buộc, duy nhất trong HĐ Phú Tài.
• Phú Tài là bên xuất hoá đơn cho khách cuối.</t>
  </si>
  <si>
    <t>HopDongPhuTai, HoSo</t>
  </si>
  <si>
    <t>HDB-13, NT-12</t>
  </si>
  <si>
    <t>PT-03</t>
  </si>
  <si>
    <t>Module 4 › Tab 1 (Trạng thái)</t>
  </si>
  <si>
    <t>HĐ Phú Tài › Tab 1</t>
  </si>
  <si>
    <t>Luồng trạng thái HĐ Phú Tài</t>
  </si>
  <si>
    <t>Báo giá → Hiệu lực → Đang thực hiện → Hoàn thành → Đã tất toán (+ Huỷ).</t>
  </si>
  <si>
    <t>• → Hiệu lực: bắt buộc Số HĐ, Ngày ký, Giá bán.
• → Đã tất toán: KH đã trả PT đủ VÀ Phú Tài đã chuyển đủ phần Oxy được hưởng.</t>
  </si>
  <si>
    <t>D-09</t>
  </si>
  <si>
    <t>PT-04</t>
  </si>
  <si>
    <t>Module 4 › Tab 2</t>
  </si>
  <si>
    <t>HĐ Phú Tài › Tab 2 Giá bán cho khách</t>
  </si>
  <si>
    <t>Giá bán &amp; các đợt KH thanh toán cho Phú Tài</t>
  </si>
  <si>
    <t>• Tổng GTHĐ trước VAT, VAT %, Tổng GTHĐ sau VAT (tự tính).
• Bảng đợt: Đợt, Số tiền, Ngày KH trả PT, Ghi chú; tổng đã trả và %.</t>
  </si>
  <si>
    <t>• Chỉ để theo dõi đối chiếu — KHÔNG phải công nợ của Oxy, không vào KT-17.</t>
  </si>
  <si>
    <t>HopDongPhuTai, HopDongPhuTai_DotKH</t>
  </si>
  <si>
    <t>PT-05</t>
  </si>
  <si>
    <t>Module 4 › Tab 3</t>
  </si>
  <si>
    <t>HĐ Phú Tài › Tab 3 Giá đầu vào</t>
  </si>
  <si>
    <t>Giá đầu vào &amp; các đợt Phú Tài trả NCC</t>
  </si>
  <si>
    <t>• Giá mua hàng hoá: chọn 1 hoặc nhiều HĐ Mua (cờ Thuộc Phú Tài) → tổng VNĐ trước VAT tự lấy.
• Bảng con chi phí: Loại (Vận chuyển / Hải quan / Khác), Nội dung, Ngày, Số tiền.
• Giá đầu vào trước VAT (tự tính).
• Bảng đợt Phú Tài trả NCC: HĐ Mua, Ngày, Số tiền, Loại tiền, Tỷ giá, Quy đổi VNĐ.</t>
  </si>
  <si>
    <t>• Giá đầu vào trước VAT = Giá mua hàng hoá + Vận chuyển + Hải quan + Chi phí đầu vào khác.
• Chỉ chọn được HĐ Mua có cờ "Thuộc Phú Tài".</t>
  </si>
  <si>
    <t>HopDongPhuTai_HDMua, HopDongPhuTai_ChiPhi, HopDongPhuTai_DotTraNCC</t>
  </si>
  <si>
    <t>HDM-02, HDM-05</t>
  </si>
  <si>
    <t>PT-06</t>
  </si>
  <si>
    <t>Module 4 › Tab 4 + Công thức chia lợi nhuận</t>
  </si>
  <si>
    <t>HĐ Phú Tài › Tab 4 Chênh lệch &amp; Chia lợi nhuận</t>
  </si>
  <si>
    <t>Chia lợi nhuận (hiển thị từng bước)</t>
  </si>
  <si>
    <t>Bảng hiển thị tuần tự:
1. Giá đầu vào trước VAT = Giá mua + Vận chuyển + Hải quan + CP khác
2. LN trước thuế = Giá bán trước VAT − Giá đầu vào trước VAT
3. LN sau thuế = LN trước thuế × 80% (Phú Tài đóng TNDN 20%)
4. Phú Tài giữ (phí quản lý) = 10% × LN sau thuế
5. Oxy được hưởng (gộp) = 90% × LN sau thuế
6. Hoa hồng khách hàng (PT-07)
7. LN thực của Oxy = Oxy được hưởng (gộp) − Hoa hồng KH
VD: LN trước thuế 100tr → sau thuế 80tr → PT giữ 8tr → Oxy gộp 72tr.</t>
  </si>
  <si>
    <t>• LN trước thuế ≤ 0: thuế = 0, Phú Tài giữ = 0, Oxy được hưởng = LN trước thuế (số âm, Oxy chịu lỗ).
• Tỷ lệ 20% / 10% / 90% lấy mặc định từ Tham số cấu hình, cho sửa theo từng HĐ (Kế toán/Giám đốc) và ghi lịch sử.</t>
  </si>
  <si>
    <t>PT-04, PT-05, PT-07, NT-14</t>
  </si>
  <si>
    <t>D-21</t>
  </si>
  <si>
    <t>Q-03</t>
  </si>
  <si>
    <t>App hiện tại tính PT 10% + thuế 20% trên chênh lệch → Oxy 70%; spec cho Oxy 72%.</t>
  </si>
  <si>
    <t>PT-07</t>
  </si>
  <si>
    <t>Module 4 › Công thức (Hoa hồng KH)</t>
  </si>
  <si>
    <t>HĐ Phú Tài › Tab 4</t>
  </si>
  <si>
    <t>Hoa hồng khách hàng</t>
  </si>
  <si>
    <t>• Chọn kiểu: Số tiền / %. Nhập giá trị; Người nhận; Ngày chi.
• Kiểu % → Hoa hồng = % × Oxy được hưởng (gộp).</t>
  </si>
  <si>
    <t>• Hoa hồng ≥ 0; cảnh báo khi &gt; Oxy được hưởng (gộp).</t>
  </si>
  <si>
    <t>D-22</t>
  </si>
  <si>
    <t>PT-08</t>
  </si>
  <si>
    <t>Module 4 › Tab 5</t>
  </si>
  <si>
    <t>HĐ Phú Tài › Tab 5 Đối chiếu thanh toán 3 bên</t>
  </si>
  <si>
    <t>Đối chiếu thanh toán 3 bên</t>
  </si>
  <si>
    <t>Bảng con nhiều dòng: Ngày Oxy chuyển Phú Tài, Số tiền (VNĐ), Ngày Phú Tài chuyển NCC, Số tiền nguyên tệ, Loại tiền (USD/VNĐ), Tỷ giá, Quy đổi VNĐ (tự tính), Ghi chú.
• Tổng: Oxy đã chuyển PT, PT đã chuyển NCC, Chênh lệch.</t>
  </si>
  <si>
    <t>• Quy đổi VNĐ = Số tiền nguyên tệ × Tỷ giá (VNĐ → 1).
• Mỗi dòng "Oxy chuyển PT" tự tạo dòng tương ứng trong sổ dòng tiền quỹ ảo (PT-09).</t>
  </si>
  <si>
    <t>HopDongPhuTai_DoiChieu</t>
  </si>
  <si>
    <t>D-33</t>
  </si>
  <si>
    <t>App hiện tại chưa có.</t>
  </si>
  <si>
    <t>PT-09</t>
  </si>
  <si>
    <t>Module 4 › DongTienPhuTai</t>
  </si>
  <si>
    <t>Phú Tài › Sổ dòng tiền</t>
  </si>
  <si>
    <t>Sổ dòng tiền quỹ ảo Phú Tài</t>
  </si>
  <si>
    <t>• Trường: Mã GD, Ngày, Chiều (Thu về PT / Chi từ PT), HĐ liên quan, Số tiền, Nguồn phát sinh (Tự động / Nhập tay), Ghi chú.
• Dòng tự động sinh từ Tab 5 (và các khoản khác theo Q-04); cho nhập tay dòng "Điều chỉnh" kèm lý do.</t>
  </si>
  <si>
    <t>• Độc lập hoàn toàn với DM_NguonTien của Kế toán — không cộng/trừ quỹ Oxy.
• Dòng tự động không sửa tay, chỉ sửa ở nguồn.</t>
  </si>
  <si>
    <t>DongTienPhuTai</t>
  </si>
  <si>
    <t>Q-04</t>
  </si>
  <si>
    <t>App hiện tại chưa có quỹ ảo Phú Tài.</t>
  </si>
  <si>
    <t>PT-10</t>
  </si>
  <si>
    <t>Số dư quỹ Phú Tài</t>
  </si>
  <si>
    <t>• Số dư quỹ Phú Tài = Σ Thu về PT − Σ Chi từ PT; xem theo ngày và theo từng HĐ.</t>
  </si>
  <si>
    <t>• Tính riêng, tách biệt khỏi số dư nguồn tiền Oxy.</t>
  </si>
  <si>
    <t>PT-11</t>
  </si>
  <si>
    <t>Module 4 (module riêng hoàn toàn)</t>
  </si>
  <si>
    <t>Toàn module</t>
  </si>
  <si>
    <t>Tách biệt Phú Tài khỏi quỹ / kho / công nợ Oxy</t>
  </si>
  <si>
    <t>• HĐ Phú Tài không sinh phiếu kho Oxy, không vào Công nợ phải thu/phải trả Oxy, không cộng/trừ Nguồn tiền Oxy.
• HĐ Mua dùng cho Phú Tài đánh cờ "Thuộc Phú Tài" để loại khỏi báo cáo Oxy.</t>
  </si>
  <si>
    <t>• Mọi báo cáo Oxy (KT-17, KT-18, KHO-09, NT-07) lọc bỏ dữ liệu Phú Tài, trừ thẻ "Số dư quỹ ảo Phú Tài".</t>
  </si>
  <si>
    <t>App hiện tại cho phiếu Phú Tài đi qua nguồn tiền Oxy.</t>
  </si>
  <si>
    <t>QUYẾT ĐỊNH CLAUDE ĐÃ TỰ CHỐT (chờ xác nhận)</t>
  </si>
  <si>
    <t>Mã</t>
  </si>
  <si>
    <t>Chủ đề</t>
  </si>
  <si>
    <t>Spec ghi</t>
  </si>
  <si>
    <t>Vấn đề</t>
  </si>
  <si>
    <t>Căn cứ</t>
  </si>
  <si>
    <t>Áp dụng cho</t>
  </si>
  <si>
    <t>Trạng thái</t>
  </si>
  <si>
    <t>Ý kiến</t>
  </si>
  <si>
    <t>Thuế TNDN HĐ Bán</t>
  </si>
  <si>
    <t>Thuế TNDN 25% trên chênh lệch; ghi chú bổ sung: &lt;20% thu 25%, &gt;20% thu 50%</t>
  </si>
  <si>
    <t>Không rõ 20% là tỷ lệ của gì, đúng 20% áp mức nào, tính toàn phần hay lũy tiến.</t>
  </si>
  <si>
    <t>Lũy tiến: phần chênh lệch đến 20% × GTHĐ thực tế trước VAT chịu 25%, phần vượt chịu 50%. Đúng mốc 20% → 25%. Tham số cấu hình được.</t>
  </si>
  <si>
    <t>App đang chạy tính đúng như vậy (khoản "Phí quản lý"); lũy tiến tránh nhảy bậc đột ngột ở mốc 20%.</t>
  </si>
  <si>
    <t>Chờ xác nhận</t>
  </si>
  <si>
    <t>Chênh lệch HĐ Bán</t>
  </si>
  <si>
    <t>Chênh lệch (tự tính)</t>
  </si>
  <si>
    <t>Không ghi công thức.</t>
  </si>
  <si>
    <t>Chênh lệch = Tổng GTHĐ trước VAT − GTHĐ thực tế trước VAT; Tỷ lệ = CL ÷ GTHĐ thực tế.</t>
  </si>
  <si>
    <t>2 trường duy nhất spec đặt cạnh Chênh lệch; app đang chạy tính như vậy.</t>
  </si>
  <si>
    <t>Tiền trả khách</t>
  </si>
  <si>
    <t>Tab 3: Tiền trả khách + ngày chi; Module 1: chi phí HĐ có hoa hồng KD của khách, link quỹ</t>
  </si>
  <si>
    <t>Một khoản ghi ở 2 nơi, có thể trừ quỹ 2 lần.</t>
  </si>
  <si>
    <t>Tiền trả khách = Hoa hồng KD; lưu 1 nơi ở ChiPhiThucHienHD (loại Hoa hồng), Tab 3 hiển thị + tạo nhanh.</t>
  </si>
  <si>
    <t>Giữ 1 nguồn dữ liệu, đảm bảo số dư quỹ đúng.</t>
  </si>
  <si>
    <t>HDB-09, KT-15</t>
  </si>
  <si>
    <t>Số đợt thanh toán</t>
  </si>
  <si>
    <t>Tối đa 3 đợt mỗi HĐ, hiện dần theo đợt</t>
  </si>
  <si>
    <t>App đang chạy không giới hạn.</t>
  </si>
  <si>
    <t>Làm theo spec: tối đa 3 đợt (tham số cấu hình được).</t>
  </si>
  <si>
    <t>Spec ghi rõ.</t>
  </si>
  <si>
    <t>HDB-10, HDM-08</t>
  </si>
  <si>
    <t>Trạng thái HĐ Bán</t>
  </si>
  <si>
    <t>Báo giá → Hiệu lực → Đang giao hàng → Hoàn thành → Đã tất toán</t>
  </si>
  <si>
    <t>Chưa có điều kiện chuyển.</t>
  </si>
  <si>
    <t>Điều kiện như mô tả HDB-03; Đã tất toán khoá HĐ, chỉ Giám đốc mở lại.</t>
  </si>
  <si>
    <t>Ràng buộc tối thiểu để dữ liệu công nợ/hồ sơ nhất quán.</t>
  </si>
  <si>
    <t>Sinh phiếu Xuất kho</t>
  </si>
  <si>
    <t>Đánh dấu đã giao hàng → tự sinh phiếu Xuất</t>
  </si>
  <si>
    <t>HĐ Bán không có danh sách hàng nhưng phiếu cần loại hàng, SL, kho.</t>
  </si>
  <si>
    <t>Popup khi ghi nhận giao: chọn kho + dòng hàng + SL (gợi ý từ HĐ Mua liên quan); mỗi lần giao 1 phiếu; giao nhiều lần được.</t>
  </si>
  <si>
    <t>Giữ đúng tinh thần "tự sinh" của spec mà vẫn đủ dữ liệu.</t>
  </si>
  <si>
    <t>HDB-04, KHO-05</t>
  </si>
  <si>
    <t>D-07</t>
  </si>
  <si>
    <t>Sinh phiếu Nhập kho</t>
  </si>
  <si>
    <t>Đánh dấu đã nhập kho ở Tab 3 → tự sinh phiếu Nhập</t>
  </si>
  <si>
    <t>Theo dòng hay cả HĐ; nhập 1 phần; chọn kho ở đâu.</t>
  </si>
  <si>
    <t>Theo từng dòng; cho nhập 1 phần; chọn kho trong popup; bỏ nhập qua duyệt xoá.</t>
  </si>
  <si>
    <t>Thực tế hàng về nhiều đợt (app đang chạy cho nhập 1 phần).</t>
  </si>
  <si>
    <t>HDM-06, KHO-04</t>
  </si>
  <si>
    <t>Trạng thái HĐ Mua</t>
  </si>
  <si>
    <t>Có trường Trạng thái, không liệt kê</t>
  </si>
  <si>
    <t>Thiếu danh sách giá trị.</t>
  </si>
  <si>
    <t>Bám tiến độ nhận hàng và thanh toán của Tab 3/4.</t>
  </si>
  <si>
    <t>Trạng thái HĐ Phú Tài</t>
  </si>
  <si>
    <t>Đồng nhất với HĐ Bán.</t>
  </si>
  <si>
    <t>Người duyệt</t>
  </si>
  <si>
    <t>Phiếu duyệt bởi Trưởng phòng/Kế toán</t>
  </si>
  <si>
    <t>Không có vai trò Trưởng phòng trong danh sách vai trò.</t>
  </si>
  <si>
    <t>Quyền Duyệt gán cho Kế toán và Giám đốc; người lập không tự duyệt (trừ Giám đốc); chưa đặt hạn mức.</t>
  </si>
  <si>
    <t>Danh sách vai trò của spec; tách người lập – người duyệt.</t>
  </si>
  <si>
    <t>KT-07, KT-14</t>
  </si>
  <si>
    <t>Tạm ứng / Quyết toán</t>
  </si>
  <si>
    <t>Loại phiếu có Tạm ứng, Quyết toán tạm ứng</t>
  </si>
  <si>
    <t>Không mô tả cách tác động số dư.</t>
  </si>
  <si>
    <t>Tạm ứng trừ quỹ khi duyệt; Quyết toán gắn phiếu gốc, chỉ phần chênh lệch tác động số dư; có báo cáo tạm ứng treo.</t>
  </si>
  <si>
    <t>Nghiệp vụ tạm ứng chuẩn.</t>
  </si>
  <si>
    <t>KT-08, KT-09</t>
  </si>
  <si>
    <t>Luân chuyển tiền</t>
  </si>
  <si>
    <t>Bổ sung Luân chuyển tiền; số dư NH và TM phải khớp</t>
  </si>
  <si>
    <t>Cách ghi nhận chưa chốt.</t>
  </si>
  <si>
    <t>Loại phiếu Luân chuyển (Nguồn đi + Nguồn đến), qua duyệt; không tính vào Thu/Chi; báo cáo số dư tại ngày để đối chiếu thực tế.</t>
  </si>
  <si>
    <t>1 phiếu → không lệch 2 vế.</t>
  </si>
  <si>
    <t>KT-10, KT-11</t>
  </si>
  <si>
    <t>Số dư nguồn tiền</t>
  </si>
  <si>
    <t>Số dư = đầu kỳ + Thu − Chi từ phiếu đã duyệt; CP HĐ có Nguồn tiền chi ra</t>
  </si>
  <si>
    <t>Công thức bỏ sót chi phí HĐ.</t>
  </si>
  <si>
    <t>Số dư trừ thêm Chi phí thực hiện HĐ đã duyệt và tính Luân chuyển.</t>
  </si>
  <si>
    <t>Nếu không trừ, trường Nguồn tiền chi ra vô nghĩa và số dư sai.</t>
  </si>
  <si>
    <t>KT-02, KT-14</t>
  </si>
  <si>
    <t>Hoa hồng &amp; Sổ quỹ</t>
  </si>
  <si>
    <t>Hoa hồng liên quan tiền mặt/Quỹ chung → link Quỹ nội bộ</t>
  </si>
  <si>
    <t>Có tạo phiếu ở Sổ quỹ không.</t>
  </si>
  <si>
    <t>Không tạo phiếu Sổ quỹ; trừ quỹ qua CP HĐ đã duyệt; Sổ quỹ có chế độ Xem gộp.</t>
  </si>
  <si>
    <t>Tránh trừ 2 lần; vẫn thấy đủ dòng tiền.</t>
  </si>
  <si>
    <t>KT-04, KT-15</t>
  </si>
  <si>
    <t>Quyết toán vận chuyển</t>
  </si>
  <si>
    <t>Cho Quyết toán vận chuyển theo từng HĐ</t>
  </si>
  <si>
    <t>Chưa mô tả nội dung.</t>
  </si>
  <si>
    <t>Báo cáo + in theo HĐ từ CP HĐ loại Vận chuyển; không tạo bảng/duyệt riêng.</t>
  </si>
  <si>
    <t>Dữ liệu đã có ở CP HĐ.</t>
  </si>
  <si>
    <t>Lợi nhuận gộp tạm tính</t>
  </si>
  <si>
    <t>Tổng chi phí → lợi nhuận gộp tạm tính</t>
  </si>
  <si>
    <t>LN gộp = GTHĐ trước VAT − Giá vốn − CP HĐ đã duyệt; Giá vốn ưu tiên giá xuất kho gốc, chưa có thì lấy HĐ Mua liên quan; LN sau thuế = LN gộp − Thuế TNDN.</t>
  </si>
  <si>
    <t>Khớp cách app đang chạy tính lợi nhuận HĐ.</t>
  </si>
  <si>
    <t>Loại chi phí</t>
  </si>
  <si>
    <t>Tách Vận hành và Thực hiện HĐ</t>
  </si>
  <si>
    <t>Cần danh sách khởi tạo.</t>
  </si>
  <si>
    <t>2 nhóm như KT-03; thêm "Hoa hồng kinh doanh" và "Phát sinh khác" vào nhóm Thực hiện HĐ.</t>
  </si>
  <si>
    <t>Spec đã chốt 2 nhóm; hoa hồng spec xếp vào chi phí HĐ.</t>
  </si>
  <si>
    <t>Kho</t>
  </si>
  <si>
    <t>3 kho: Toàn Cầu, Phú Tài, Huy Thịnh; điểm "Để tại Phú Tài"; "Chuyển thẳng"</t>
  </si>
  <si>
    <t>"Kho Phú Tài" và "Để tại Phú Tài" có phải 1 không.</t>
  </si>
  <si>
    <t>Là 1 (Kho Phú Tài). Hàng của Oxy gửi tại Kho Phú Tài vẫn tính tồn Oxy; HĐ Phú Tài không sinh phiếu kho.</t>
  </si>
  <si>
    <t>Spec: HĐ Phú Tài hàng không qua kho Oxy.</t>
  </si>
  <si>
    <t>KHO-01, KHO-07</t>
  </si>
  <si>
    <t>Giá gốc theo HĐ</t>
  </si>
  <si>
    <t>Xuất kho theo mã HĐ → tính giá trị thực hiện gốc</t>
  </si>
  <si>
    <t>Phương pháp tính giá chưa chốt.</t>
  </si>
  <si>
    <t>Đích danh theo HĐ Mua liên quan; còn lại bình quân gia quyền theo kho + biến thể; tỷ giá lúc mua.</t>
  </si>
  <si>
    <t>Phù hợp hàng mua theo đơn; app đang chạy cũng ưu tiên HĐ Mua liên kết.</t>
  </si>
  <si>
    <t>KHO-10, HDB-11</t>
  </si>
  <si>
    <t>HĐ Mua cho Phú Tài</t>
  </si>
  <si>
    <t>Giá đầu vào PT link từ HopDongMua; PT tách biệt công nợ/kho Oxy</t>
  </si>
  <si>
    <t>HĐ Mua đó có vào công nợ, kho Oxy không.</t>
  </si>
  <si>
    <t>Cờ "Thuộc Phú Tài" trên HĐ Mua: không công nợ phải trả, không phiếu nhập kho Oxy, không phiếu chi Oxy.</t>
  </si>
  <si>
    <t>Thoả cả 2 câu của spec.</t>
  </si>
  <si>
    <t>HDM-02, HDM-06, HDM-08, KT-18, PT-05, PT-11</t>
  </si>
  <si>
    <t>Chia lợi nhuận Phú Tài</t>
  </si>
  <si>
    <t>Bảng công thức 7 bước (thuế 20% → PT 10% → Oxy 90% của LN sau thuế)</t>
  </si>
  <si>
    <t>Spec rõ nhưng chưa xử lý lỗ, chưa nói tỷ lệ cố định hay không.</t>
  </si>
  <si>
    <t>Làm đúng spec. Lỗ: thuế = 0, PT giữ = 0, Oxy chịu toàn bộ. Tỷ lệ mặc định từ cấu hình, sửa được theo HĐ.</t>
  </si>
  <si>
    <t>Spec ghi rõ công thức; cách xử lý lỗ theo app đang chạy.</t>
  </si>
  <si>
    <t>Hoa hồng % Phú Tài</t>
  </si>
  <si>
    <t>Hoa hồng nhập tay (số tiền hoặc %)</t>
  </si>
  <si>
    <t>% tính trên cơ sở nào.</t>
  </si>
  <si>
    <t>% × Oxy được hưởng (gộp).</t>
  </si>
  <si>
    <t>Công thức trừ hoa hồng trực tiếp từ Oxy được hưởng (gộp).</t>
  </si>
  <si>
    <t>Hồ sơ &amp; hoá đơn</t>
  </si>
  <si>
    <t>Tải lên drive công ty, tích đã lưu; hoá đơn nhập số + ngày; bắt buộc lưu và scan</t>
  </si>
  <si>
    <t>"Bắt buộc" chặn gì; cờ tích tay hay tự động; nhiều hoá đơn.</t>
  </si>
  <si>
    <t>Upload xong tự tích Đã lưu (bản giấy được tích tay + ghi chú); thiếu hồ sơ chặn Đã tất toán; hoá đơn là bảng con nhiều dòng; cây thư mục theo Năm/Số HĐ/Loại.</t>
  </si>
  <si>
    <t>Kiểm soát chặt ở bước cuối, không cản công việc hằng ngày.</t>
  </si>
  <si>
    <t>NT-12, HDB-05, HDB-06, HDM-04</t>
  </si>
  <si>
    <t>Danh mục KH &amp; NCC</t>
  </si>
  <si>
    <t>Sales xem được Khách hàng; HĐ có Tên KH/NCC, MST, Địa chỉ</t>
  </si>
  <si>
    <t>Spec không có bảng danh mục.</t>
  </si>
  <si>
    <t>Tạo DM_KhachHang, DM_NCC; HĐ chọn từ danh mục và lưu bản sao Tên/MST/Địa chỉ.</t>
  </si>
  <si>
    <t>Spec nhắc quyền xem Khách hàng → cần thực thể Khách hàng; tránh gõ sai tên.</t>
  </si>
  <si>
    <t>HDB-02, HDB-13, HDM-02, HDM-10</t>
  </si>
  <si>
    <t>Sales xem KH; Admin xem HĐ; Kế toán &amp; GĐ xem hết</t>
  </si>
  <si>
    <t>Chưa có quyền sửa/duyệt, vai trò Kho, Chỉ xem.</t>
  </si>
  <si>
    <t>Ma trận mặc định ở sheet "Ma trận quyền".</t>
  </si>
  <si>
    <t>Mở rộng tối thiểu từ câu chốt của spec.</t>
  </si>
  <si>
    <t>NT-03, NT-04, HDB-01, HDM-01</t>
  </si>
  <si>
    <t>Dashboard</t>
  </si>
  <si>
    <t>Layout UI: dashboard trang chủ — chưa chốt</t>
  </si>
  <si>
    <t>Chưa có nội dung.</t>
  </si>
  <si>
    <t>7 thẻ như NT-07, hiển thị theo quyền.</t>
  </si>
  <si>
    <t>Các chỉ số chính của 4 module.</t>
  </si>
  <si>
    <t>Import dữ liệu cũ</t>
  </si>
  <si>
    <t>Import toàn bộ, không nhập tay lại</t>
  </si>
  <si>
    <t>Xử lý dữ liệu thiếu, trạng thái phiếu cũ.</t>
  </si>
  <si>
    <t>Thiếu → "(Chưa xác định)" + cờ Dữ liệu import; phiếu cũ = Đã duyệt, Người duyệt = Import.</t>
  </si>
  <si>
    <t>Số dư khớp sổ cũ; dễ lọc phần cần bổ sung.</t>
  </si>
  <si>
    <t>Bảo mật đăng nhập</t>
  </si>
  <si>
    <t>Email + mật khẩu băm + token</t>
  </si>
  <si>
    <t>Chưa có quy tắc phiên, khoá.</t>
  </si>
  <si>
    <t>Token 12 giờ; sai 5 lần khoá 15 phút; mật khẩu ≥ 8 ký tự; đặt lại mật khẩu huỷ mọi phiên.</t>
  </si>
  <si>
    <t>Mức tối thiểu cho app nội bộ.</t>
  </si>
  <si>
    <t>NT-01, NT-02</t>
  </si>
  <si>
    <t>(công thức trong spec dùng các tỷ lệ cố định)</t>
  </si>
  <si>
    <t>Đổi tỷ lệ phải sửa code.</t>
  </si>
  <si>
    <t>Đưa bậc thuế, tỷ lệ Phú Tài, tiền tố số phiếu, số đợt tối đa vào sheet CauHinh; HĐ lưu tỷ lệ tại thời điểm tạo.</t>
  </si>
  <si>
    <t>Đổi chính sách không cần sửa code, HĐ cũ không bị tính lại.</t>
  </si>
  <si>
    <t>NT-14, HDB-08, PT-06</t>
  </si>
  <si>
    <t>D-30</t>
  </si>
  <si>
    <t>Số module</t>
  </si>
  <si>
    <t>Tiêu đề "Sơ đồ 5 module" nhưng bảng chỉ có 4</t>
  </si>
  <si>
    <t>Không khớp.</t>
  </si>
  <si>
    <t>4 module nghiệp vụ (Kế toán, Kinh doanh, Kho, Phú Tài) + phần Nền tảng.</t>
  </si>
  <si>
    <t>Bảng module của spec.</t>
  </si>
  <si>
    <t>Đánh số chứng từ</t>
  </si>
  <si>
    <t>Số phiếu tự sinh theo năm, VD TC26-0001</t>
  </si>
  <si>
    <t>Chưa có cho CP HĐ, phiếu kho.</t>
  </si>
  <si>
    <t>TC{yy}-{nnnn} chung mọi loại phiếu thu chi; CP{yy}-{nnnn}; NK/XK{yy}-{nnnn}; không tái dùng số.</t>
  </si>
  <si>
    <t>Theo mẫu spec.</t>
  </si>
  <si>
    <t>KT-06, KT-13, KHO-03</t>
  </si>
  <si>
    <t>Sửa/huỷ phiếu kho</t>
  </si>
  <si>
    <t>Nguồn gốc phiếu: tự động hoặc nhập tay — điều chỉnh</t>
  </si>
  <si>
    <t>Quyền sửa phiếu tự động.</t>
  </si>
  <si>
    <t>Phiếu tự động không sửa số lượng, huỷ qua duyệt xoá; phiếu tay bắt buộc lý do, chỉ Kho/Giám đốc.</t>
  </si>
  <si>
    <t>Giữ khớp giữa HĐ và kho.</t>
  </si>
  <si>
    <t>KHO-04, KHO-05, KHO-06, KHO-08</t>
  </si>
  <si>
    <t>Quỹ ảo Phú Tài (kỹ thuật)</t>
  </si>
  <si>
    <t>DongTienPhuTai: Ngày, Chiều, HĐ, Số tiền, Ghi chú</t>
  </si>
  <si>
    <t>Nhập tay hay tự sinh.</t>
  </si>
  <si>
    <t>Tự sinh từ Tab 5 (Oxy chuyển PT) + cho nhập tay dòng Điều chỉnh; phần nghĩa của các chiều chờ Q-04.</t>
  </si>
  <si>
    <t>Không bắt nhập 2 lần.</t>
  </si>
  <si>
    <t>PT-08, PT-09</t>
  </si>
  <si>
    <t>CÂU HỎI CẦN CÔNG TY TRẢ LỜI</t>
  </si>
  <si>
    <t>Trả lời từng ý (a), (b)… vào cột Câu trả lời rồi đổi Trạng thái.</t>
  </si>
  <si>
    <t>Vì sao Claude không tự quyết</t>
  </si>
  <si>
    <t>Ảnh hưởng chức năng</t>
  </si>
  <si>
    <t>Người trả lời</t>
  </si>
  <si>
    <t>Câu trả lời</t>
  </si>
  <si>
    <t>Danh mục Loại hàng</t>
  </si>
  <si>
    <t>Là dữ liệu thực tế của công ty.</t>
  </si>
  <si>
    <t>(a) Gửi danh sách Loại hàng / vỏ bình / thiết bị / phụ kiện đang kinh doanh.
(b) Các thuộc tính biến thể cần quản lý (nồng độ, thể tích, áp suất, ...)?
(c) Có quản lý theo số seri từng vỏ bình không?
(d) Đơn vị tính của từng nhóm (bình, cái, bộ...)?</t>
  </si>
  <si>
    <t>KHO-02, HDM-05, KHO-09</t>
  </si>
  <si>
    <t>Chưa trả lời</t>
  </si>
  <si>
    <t>Drive lưu hồ sơ</t>
  </si>
  <si>
    <t>Phụ thuộc tài khoản Google của công ty.</t>
  </si>
  <si>
    <t>(a) Thư mục hồ sơ đặt trong Drive của tài khoản Google nào (chủ sở hữu)?
(b) Ai ngoài app được quyền xem thư mục này?</t>
  </si>
  <si>
    <t>NT-12, HDB-05, HDM-04, PT-02</t>
  </si>
  <si>
    <t>Tỷ lệ chia lợi nhuận Phú Tài</t>
  </si>
  <si>
    <t>Spec và app đang chạy cho kết quả khác nhau, ảnh hưởng tiền thật theo thoả thuận với Phú Tài.</t>
  </si>
  <si>
    <t>Spec: thuế 20% → Phú Tài giữ 10% của LN sau thuế → Oxy được 72% LN trước thuế.
App đang chạy: Phú Tài 10% + thuế 20% đều tính trên chênh lệch → Oxy được 70%.
(a) Thoả thuận thực tế với Phú Tài theo cách nào?
(b) Nếu theo app, cần sửa bảng công thức Tab 4 của spec.</t>
  </si>
  <si>
    <t>PT-06, PT-01</t>
  </si>
  <si>
    <t>Ý nghĩa quỹ ảo Phú Tài</t>
  </si>
  <si>
    <t>Là cách công ty theo dõi tiền với Phú Tài.</t>
  </si>
  <si>
    <t>(a) "Thu về PT" gồm những khoản nào (Oxy chuyển cho PT? khách trả PT phần của Oxy?)
(b) "Chi từ PT" gồm những khoản nào (PT trả NCC? PT chuyển lợi nhuận về Oxy?)
(c) Khi Phú Tài chuyển lợi nhuận về Oxy, có lập phiếu Thu ở Sổ quỹ Oxy không?</t>
  </si>
  <si>
    <t>PT-09, PT-10</t>
  </si>
  <si>
    <t>Spec giới hạn 3 đợt nhưng app đang chạy không giới hạn; dữ liệu cũ có thể có HĐ nhiều đợt hơn.</t>
  </si>
  <si>
    <t>(a) Có HĐ nào thực tế cần hơn 3 đợt thanh toán không?
(b) Nếu có, nâng giới hạn lên bao nhiêu, hay gộp các đợt dư khi import?</t>
  </si>
  <si>
    <t>HDB-10, HDM-08, NT-13</t>
  </si>
  <si>
    <t>Xác nhận ma trận quyền</t>
  </si>
  <si>
    <t>Là quy định nội bộ về ai được làm gì.</t>
  </si>
  <si>
    <t>(a) Xác nhận/sửa ma trận ở sheet "Ma trận quyền".
(b) Có cần thêm vai trò Mua hàng hoặc Trưởng phòng riêng không?
(c) Sale có được xem HĐ của Sale khác không?</t>
  </si>
  <si>
    <t>NT-04, KT-07, KT-14</t>
  </si>
  <si>
    <t>Q-07</t>
  </si>
  <si>
    <t>File dữ liệu cũ để import</t>
  </si>
  <si>
    <t>Cần file gốc mới lập được mapping.</t>
  </si>
  <si>
    <t>(a) Gửi 4 file: THEO DÕI 2026, HỢP ĐỒNG MUA, Bảng kê Thanh Toán, Công nợ Phú Tài Miền Nam.
(b) Dữ liệu từ năm nào trở đi cần import?</t>
  </si>
  <si>
    <t>Nhận diện thương hiệu</t>
  </si>
  <si>
    <t>Là tài sản của công ty.</t>
  </si>
  <si>
    <t>(a) Gửi logo App Oxy (PNG/SVG).
(b) Màu chủ đạo của công ty (mã màu) nếu có.</t>
  </si>
  <si>
    <t>NT-06, NT-07, NT-08</t>
  </si>
  <si>
    <t>TỪ ĐIỂN TRƯỜNG DỮ LIỆU (mỗi bảng = 1 sheet nguồn)</t>
  </si>
  <si>
    <t>Bảng</t>
  </si>
  <si>
    <t>Trường</t>
  </si>
  <si>
    <t>Kiểu</t>
  </si>
  <si>
    <t>Bắt buộc</t>
  </si>
  <si>
    <t>Nguồn / Công thức / Giá trị</t>
  </si>
  <si>
    <t>Ghi chú</t>
  </si>
  <si>
    <t>Email</t>
  </si>
  <si>
    <t>Text</t>
  </si>
  <si>
    <t>Có</t>
  </si>
  <si>
    <t>Nhập</t>
  </si>
  <si>
    <t>Duy nhất, dùng để đăng nhập</t>
  </si>
  <si>
    <t>HoTen</t>
  </si>
  <si>
    <t>MatKhauBam</t>
  </si>
  <si>
    <t>SHA-256(mật khẩu + Salt)</t>
  </si>
  <si>
    <t>Không lưu mật khẩu gốc</t>
  </si>
  <si>
    <t>Salt</t>
  </si>
  <si>
    <t>Tự sinh</t>
  </si>
  <si>
    <t>VaiTro</t>
  </si>
  <si>
    <t>Danh sách (nhiều)</t>
  </si>
  <si>
    <t>Giám đốc / Kế toán / Sale / Admin / Kho / Chỉ xem</t>
  </si>
  <si>
    <t>TrangThai</t>
  </si>
  <si>
    <t>Hoạt động / Khoá</t>
  </si>
  <si>
    <t>BatDoiMK</t>
  </si>
  <si>
    <t>Có/Không</t>
  </si>
  <si>
    <t>Bắt đổi mật khẩu lần đăng nhập tới</t>
  </si>
  <si>
    <t>SoLanSai</t>
  </si>
  <si>
    <t>Số</t>
  </si>
  <si>
    <t>Tự đếm</t>
  </si>
  <si>
    <t>Khoá 15 phút khi = 5</t>
  </si>
  <si>
    <t>LanDangNhapCuoi</t>
  </si>
  <si>
    <t>Ngày giờ</t>
  </si>
  <si>
    <t>Tự ghi</t>
  </si>
  <si>
    <t>PhienDangNhap</t>
  </si>
  <si>
    <t>Token</t>
  </si>
  <si>
    <t>Tham chiếu TaiKhoan</t>
  </si>
  <si>
    <t>HetHan</t>
  </si>
  <si>
    <t>Lần hoạt động cuối + 12 giờ</t>
  </si>
  <si>
    <t>Khoa</t>
  </si>
  <si>
    <t>VD: TNDN_NGUONG, TNDN_MUC1, TNDN_MUC2, PT_THUE, PT_GIU, SO_DOT_TOI_DA</t>
  </si>
  <si>
    <t>GiaTri</t>
  </si>
  <si>
    <t>Text/Số</t>
  </si>
  <si>
    <t>NguoiSua / NgaySua</t>
  </si>
  <si>
    <t>Text / Ngày giờ</t>
  </si>
  <si>
    <t>Lưu lịch sử</t>
  </si>
  <si>
    <t>MaYC</t>
  </si>
  <si>
    <t>LoaiDoiTuong</t>
  </si>
  <si>
    <t>PhieuThuChi, ChiPhiThucHienHD, HopDongBan, HopDongMua, PhieuKho, HopDongPhuTai, HoSo, DM_*</t>
  </si>
  <si>
    <t>MaDoiTuong</t>
  </si>
  <si>
    <t>LyDo</t>
  </si>
  <si>
    <t>NguoiGui / NgayGui</t>
  </si>
  <si>
    <t>Chờ duyệt / Đã duyệt / Từ chối / Đã rút</t>
  </si>
  <si>
    <t>NguoiDuyet / NgayDuyet</t>
  </si>
  <si>
    <t>MaHoSo</t>
  </si>
  <si>
    <t>LoaiDoiTuong / SoHD</t>
  </si>
  <si>
    <t>HĐ Bán / HĐ Mua / HĐ Phú Tài / Phiếu</t>
  </si>
  <si>
    <t>LoaiHoSo</t>
  </si>
  <si>
    <t>Hợp đồng / BBGH-BBNT / Hoá đơn / Scan khác</t>
  </si>
  <si>
    <t>FileId / Url / Thumbnail</t>
  </si>
  <si>
    <t>Tự ghi khi upload</t>
  </si>
  <si>
    <t>DaLuu</t>
  </si>
  <si>
    <t>Tự tích khi upload; tích tay nếu bản giấy</t>
  </si>
  <si>
    <t>DaScan</t>
  </si>
  <si>
    <t>GhiChuThieu</t>
  </si>
  <si>
    <t>Bắt buộc khi tích tay DaLuu</t>
  </si>
  <si>
    <t>NguoiUpload / NgayUpload</t>
  </si>
  <si>
    <t>SoHoaDon</t>
  </si>
  <si>
    <t>NgayHoaDon</t>
  </si>
  <si>
    <t>Ngày</t>
  </si>
  <si>
    <t>Tiền</t>
  </si>
  <si>
    <t>Sau VAT</t>
  </si>
  <si>
    <t>Tham chiếu HoSo</t>
  </si>
  <si>
    <t>File hoá đơn</t>
  </si>
  <si>
    <t>MaNguon</t>
  </si>
  <si>
    <t>Duy nhất</t>
  </si>
  <si>
    <t>TenNguon</t>
  </si>
  <si>
    <t>Loai</t>
  </si>
  <si>
    <t>Tiền mặt / Ngân hàng</t>
  </si>
  <si>
    <t>SoTaiKhoan / NganHang</t>
  </si>
  <si>
    <t>Khi Loại = Ngân hàng</t>
  </si>
  <si>
    <t>SoDuDauKy</t>
  </si>
  <si>
    <t>Khoá khi đã có phiếu duyệt</t>
  </si>
  <si>
    <t>NgayDauKy</t>
  </si>
  <si>
    <t>SoDuHienTai</t>
  </si>
  <si>
    <t>Công thức KT-02</t>
  </si>
  <si>
    <t>Chỉ đọc</t>
  </si>
  <si>
    <t>Đang dùng / Ngưng</t>
  </si>
  <si>
    <t>MaLoai</t>
  </si>
  <si>
    <t>TenLoai</t>
  </si>
  <si>
    <t>Nhom</t>
  </si>
  <si>
    <t>Vận hành / Thực hiện HĐ</t>
  </si>
  <si>
    <t>DangDung</t>
  </si>
  <si>
    <t>SoPhieu</t>
  </si>
  <si>
    <t>TC{yy}-{nnnn}</t>
  </si>
  <si>
    <t>NgayLap</t>
  </si>
  <si>
    <t>Mặc định hôm nay</t>
  </si>
  <si>
    <t>LoaiPhieu</t>
  </si>
  <si>
    <t>Thu / Chi / Tạm ứng / Quyết toán tạm ứng / Luân chuyển</t>
  </si>
  <si>
    <t>NguonTien</t>
  </si>
  <si>
    <t>Tham chiếu DM_NguonTien</t>
  </si>
  <si>
    <t>Nguồn đi với Luân chuyển</t>
  </si>
  <si>
    <t>NguonTienDen</t>
  </si>
  <si>
    <t>Khi Luân chuyển</t>
  </si>
  <si>
    <t>≠ NguonTien</t>
  </si>
  <si>
    <t>LoaiChiPhi</t>
  </si>
  <si>
    <t>Tham chiếu DM_LoaiChiPhi</t>
  </si>
  <si>
    <t>Khi Chi/Tạm ứng</t>
  </si>
  <si>
    <t>Nhóm Vận hành</t>
  </si>
  <si>
    <t>NoiDung</t>
  </si>
  <si>
    <t>SoTienThu</t>
  </si>
  <si>
    <t>Khi Thu</t>
  </si>
  <si>
    <t>&gt; 0</t>
  </si>
  <si>
    <t>SoTienChi</t>
  </si>
  <si>
    <t>Khi Chi/TU/LC</t>
  </si>
  <si>
    <t>PhieuTamUngGoc</t>
  </si>
  <si>
    <t>Tham chiếu PhieuThuChi</t>
  </si>
  <si>
    <t>Khi Quyết toán</t>
  </si>
  <si>
    <t>SoTienThucChi</t>
  </si>
  <si>
    <t>Chênh lệch = Tạm ứng − Thực chi</t>
  </si>
  <si>
    <t>NguoiNhan</t>
  </si>
  <si>
    <t>Khi Tạm ứng</t>
  </si>
  <si>
    <t>NguoiDeNghi</t>
  </si>
  <si>
    <t>Mặc định người lập</t>
  </si>
  <si>
    <t>Nháp / Chờ duyệt / Đã duyệt / Từ chối</t>
  </si>
  <si>
    <t>LyDoTuChoi</t>
  </si>
  <si>
    <t>Khi Từ chối</t>
  </si>
  <si>
    <t>FileDinhKem</t>
  </si>
  <si>
    <t>GhiChu</t>
  </si>
  <si>
    <t>MaCP</t>
  </si>
  <si>
    <t>CP{yy}-{nnnn}</t>
  </si>
  <si>
    <t>SoHDBan</t>
  </si>
  <si>
    <t>Tham chiếu HopDongBan</t>
  </si>
  <si>
    <t>HĐ từ Hiệu lực trở đi</t>
  </si>
  <si>
    <t>Ngay</t>
  </si>
  <si>
    <t>Nhóm Thực hiện HĐ</t>
  </si>
  <si>
    <t>SoTien</t>
  </si>
  <si>
    <t>Trừ khi duyệt</t>
  </si>
  <si>
    <t>NguoiThucHien</t>
  </si>
  <si>
    <t>Khi Hoa hồng</t>
  </si>
  <si>
    <t>DonViVanChuyen</t>
  </si>
  <si>
    <t>Khi Vận chuyển</t>
  </si>
  <si>
    <t>FileDinhKem / GhiChu</t>
  </si>
  <si>
    <t>MaKH</t>
  </si>
  <si>
    <t>KH{nnnn}</t>
  </si>
  <si>
    <t>TenKH</t>
  </si>
  <si>
    <t>MST</t>
  </si>
  <si>
    <t>Cảnh báo trùng</t>
  </si>
  <si>
    <t>DiaChi</t>
  </si>
  <si>
    <t>NguoiLienHe / DienThoai / Email</t>
  </si>
  <si>
    <t>MaNCC</t>
  </si>
  <si>
    <t>NCC{nnnn}</t>
  </si>
  <si>
    <t>TenNCC</t>
  </si>
  <si>
    <t>DiaChi / QuocGia</t>
  </si>
  <si>
    <t>Tham chiếu DM_KhachHang</t>
  </si>
  <si>
    <t>TenKH / MST / DiaChi</t>
  </si>
  <si>
    <t>Sao từ danh mục khi chọn</t>
  </si>
  <si>
    <t>NgayKy</t>
  </si>
  <si>
    <t>Khi Hiệu lực</t>
  </si>
  <si>
    <t>NgayHieuLuc</t>
  </si>
  <si>
    <t>≥ NgayKy</t>
  </si>
  <si>
    <t>Báo giá / Hiệu lực / Đang giao hàng / Hoàn thành / Đã tất toán</t>
  </si>
  <si>
    <t>SalePhuTrach</t>
  </si>
  <si>
    <t>TongGTTruocVAT</t>
  </si>
  <si>
    <t>VAT</t>
  </si>
  <si>
    <t>%</t>
  </si>
  <si>
    <t>0 / 8 / 10</t>
  </si>
  <si>
    <t>TongGTSauVAT</t>
  </si>
  <si>
    <t>= Trước VAT × (1+VAT)</t>
  </si>
  <si>
    <t>GTThucTeTruocVAT</t>
  </si>
  <si>
    <t>ChenhLech</t>
  </si>
  <si>
    <t>= TongGTTruocVAT − GTThucTeTruocVAT</t>
  </si>
  <si>
    <t>TyLeChenhLech</t>
  </si>
  <si>
    <t>= ChenhLech ÷ GTThucTeTruocVAT</t>
  </si>
  <si>
    <t>ThueTNDN</t>
  </si>
  <si>
    <t>Công thức HDB-08</t>
  </si>
  <si>
    <t>ThamSoThue</t>
  </si>
  <si>
    <t>Sao từ CauHinh khi tạo</t>
  </si>
  <si>
    <t>TongTienTraKhach</t>
  </si>
  <si>
    <t>Σ CP HĐ loại Hoa hồng</t>
  </si>
  <si>
    <t>DaThu / ConPhaiThu</t>
  </si>
  <si>
    <t>Từ HopDongBan_DotTT</t>
  </si>
  <si>
    <t>TongCPTH / LNGopTamTinh / LNSauThue</t>
  </si>
  <si>
    <t>Công thức HDB-11</t>
  </si>
  <si>
    <t>Tham chiếu</t>
  </si>
  <si>
    <t>Dot</t>
  </si>
  <si>
    <t>1..3</t>
  </si>
  <si>
    <t>TyLe</t>
  </si>
  <si>
    <t>= TyLe × TongGTSauVAT hoặc nhập</t>
  </si>
  <si>
    <t>HanThanhToan</t>
  </si>
  <si>
    <t>NgayThucThu / SoTienThucThu</t>
  </si>
  <si>
    <t>Ngày / Tiền</t>
  </si>
  <si>
    <t>Kế toán nhập</t>
  </si>
  <si>
    <t>NguonTienNhan</t>
  </si>
  <si>
    <t>Khi đã thu</t>
  </si>
  <si>
    <t>SoHDMua</t>
  </si>
  <si>
    <t>Tham chiếu DM_NCC</t>
  </si>
  <si>
    <t>TenNCC / DiaChi / MST</t>
  </si>
  <si>
    <t>Sao từ danh mục</t>
  </si>
  <si>
    <t>Khi Đã ký</t>
  </si>
  <si>
    <t>SoHDBanLienQuan</t>
  </si>
  <si>
    <t>Tuỳ chọn</t>
  </si>
  <si>
    <t>ThuocPhuTai</t>
  </si>
  <si>
    <t>Loại khỏi công nợ/kho Oxy</t>
  </si>
  <si>
    <t>Nháp / Đã ký / Đang nhận hàng / Đã nhận đủ / Đã tất toán / Huỷ</t>
  </si>
  <si>
    <t>TongGTVND</t>
  </si>
  <si>
    <t>Σ ThanhTienVND hoặc nhập tay</t>
  </si>
  <si>
    <t>NhapTayTongGT / LyDoNhapTay</t>
  </si>
  <si>
    <t>Có/Không / Text</t>
  </si>
  <si>
    <t>DaTra / ConPhaiTra</t>
  </si>
  <si>
    <t>Từ HopDongMua_DotTT</t>
  </si>
  <si>
    <t>XuatHoaDon</t>
  </si>
  <si>
    <t>Đã / Chưa</t>
  </si>
  <si>
    <t>ChecklistTienDo</t>
  </si>
  <si>
    <t>Danh sách tích</t>
  </si>
  <si>
    <t>Đã đặt hàng / Đã TT đợt 1 / Hàng đã về / Đã kiểm định / Đã nhập kho</t>
  </si>
  <si>
    <t>Kèm ngày</t>
  </si>
  <si>
    <t>SoHDMua / Dong</t>
  </si>
  <si>
    <t>Text / Số</t>
  </si>
  <si>
    <t>MaLoaiHang</t>
  </si>
  <si>
    <t>Tham chiếu DM_LoaiHang</t>
  </si>
  <si>
    <t>TenHang</t>
  </si>
  <si>
    <t>Mặc định theo loại hàng</t>
  </si>
  <si>
    <t>ThongSo</t>
  </si>
  <si>
    <t>nồng độ / thể tích / áp suất</t>
  </si>
  <si>
    <t>SoLuong</t>
  </si>
  <si>
    <t>DonViTinh</t>
  </si>
  <si>
    <t>Theo loại hàng</t>
  </si>
  <si>
    <t>DonGia</t>
  </si>
  <si>
    <t>Theo loại tiền</t>
  </si>
  <si>
    <t>LoaiTien</t>
  </si>
  <si>
    <t>VNĐ / USD / RMB</t>
  </si>
  <si>
    <t>TyGia</t>
  </si>
  <si>
    <t>Khi USD/RMB</t>
  </si>
  <si>
    <t>VNĐ = 1</t>
  </si>
  <si>
    <t>ThanhTienVND</t>
  </si>
  <si>
    <t>= SoLuong × DonGia × TyGia</t>
  </si>
  <si>
    <t>SLDaNhap</t>
  </si>
  <si>
    <t>Σ phiếu nhập</t>
  </si>
  <si>
    <t>HopDongMua_DotTT</t>
  </si>
  <si>
    <t>SoHDMua / Dot</t>
  </si>
  <si>
    <t>HanTra</t>
  </si>
  <si>
    <t>NgayDaTra / SoTienDaTra</t>
  </si>
  <si>
    <t>Khi phiếu chi được duyệt</t>
  </si>
  <si>
    <t>NguonTien / SoPhieuChi</t>
  </si>
  <si>
    <t>Không có nếu Thuộc Phú Tài</t>
  </si>
  <si>
    <t>MaKho</t>
  </si>
  <si>
    <t>TenKho</t>
  </si>
  <si>
    <t>Toàn Cầu / Phú Tài / Huy Thịnh / ...</t>
  </si>
  <si>
    <t>LoaiKho</t>
  </si>
  <si>
    <t>Kho thường / Chuyển thẳng</t>
  </si>
  <si>
    <t>Chờ Q-01</t>
  </si>
  <si>
    <t>TenLoaiHang</t>
  </si>
  <si>
    <t>Vỏ bình / Thiết bị tái sử dụng / Phụ kiện</t>
  </si>
  <si>
    <t>ThuocTinhApDung</t>
  </si>
  <si>
    <t>nồng độ / thể tích / áp suất / ...</t>
  </si>
  <si>
    <t>NK{yy}-{nnnn} / XK{yy}-{nnnn}</t>
  </si>
  <si>
    <t>Nhập / Xuất</t>
  </si>
  <si>
    <t>NguonGoc</t>
  </si>
  <si>
    <t>Tự động HĐ Mua / Tự động HĐ Bán / Nhập tay – điều chỉnh</t>
  </si>
  <si>
    <t>SoHDLienQuan</t>
  </si>
  <si>
    <t>Khi tự động</t>
  </si>
  <si>
    <t>ViTriKho</t>
  </si>
  <si>
    <t>Tham chiếu DM_Kho</t>
  </si>
  <si>
    <t>Gồm Chuyển thẳng</t>
  </si>
  <si>
    <t>LyDoDieuChinh</t>
  </si>
  <si>
    <t>Khi nhập tay</t>
  </si>
  <si>
    <t>Hiệu lực / Đã huỷ</t>
  </si>
  <si>
    <t>PhieuKho_ChiTiet</t>
  </si>
  <si>
    <t>Tham chiếu PhieuKho</t>
  </si>
  <si>
    <t>ThuocTinh</t>
  </si>
  <si>
    <t>Tổ hợp biến thể</t>
  </si>
  <si>
    <t>DongHDMua</t>
  </si>
  <si>
    <t>Phiếu nhập tự động</t>
  </si>
  <si>
    <t>DonGiaGoc / ThanhTienGoc</t>
  </si>
  <si>
    <t>Công thức KHO-10</t>
  </si>
  <si>
    <t>Phiếu xuất</t>
  </si>
  <si>
    <t>SoHD</t>
  </si>
  <si>
    <t>MaKH / TenKHCuoi / MST</t>
  </si>
  <si>
    <t>Tham chiếu / Text</t>
  </si>
  <si>
    <t>NgayKy / NgayHieuLuc</t>
  </si>
  <si>
    <t>Báo giá / Hiệu lực / Đang thực hiện / Hoàn thành / Đã tất toán / Huỷ</t>
  </si>
  <si>
    <t>TongGTTruocVAT / VAT / TongGTSauVAT</t>
  </si>
  <si>
    <t>Tiền / %</t>
  </si>
  <si>
    <t>GiaMuaHangHoa</t>
  </si>
  <si>
    <t>Σ HĐ Mua liên kết (VNĐ, trước VAT)</t>
  </si>
  <si>
    <t>VanChuyen / HaiQuan / CPKhac</t>
  </si>
  <si>
    <t>Σ bảng con chi phí</t>
  </si>
  <si>
    <t>GiaDauVao</t>
  </si>
  <si>
    <t>Tổng 4 khoản trên</t>
  </si>
  <si>
    <t>LNTruocThue</t>
  </si>
  <si>
    <t>= TongGTTruocVAT − GiaDauVao</t>
  </si>
  <si>
    <t>TyLeThue / TyLePTGiu</t>
  </si>
  <si>
    <t>Mặc định 20% / 10% từ CauHinh</t>
  </si>
  <si>
    <t>Sửa được theo HĐ</t>
  </si>
  <si>
    <t>LNSauThue / PTGiu / OxyHuongGop</t>
  </si>
  <si>
    <t>Công thức PT-06</t>
  </si>
  <si>
    <t>HoaHongKieu / HoaHongGiaTri / HoaHong</t>
  </si>
  <si>
    <t>Danh sách / Số / Tiền</t>
  </si>
  <si>
    <t>Số tiền hoặc % × OxyHuongGop</t>
  </si>
  <si>
    <t>NguoiNhanHoaHong</t>
  </si>
  <si>
    <t>LNThucOxy</t>
  </si>
  <si>
    <t>= OxyHuongGop − HoaHong</t>
  </si>
  <si>
    <t>HopDongPhuTai_HDMua</t>
  </si>
  <si>
    <t>SoHDPT</t>
  </si>
  <si>
    <t>Tham chiếu HopDongMua</t>
  </si>
  <si>
    <t>Chỉ HĐ cờ Thuộc Phú Tài</t>
  </si>
  <si>
    <t>HopDongPhuTai_ChiPhi</t>
  </si>
  <si>
    <t>Vận chuyển / Hải quan / Khác</t>
  </si>
  <si>
    <t>NoiDung / Ngay / SoTien</t>
  </si>
  <si>
    <t>Text / Ngày / Tiền</t>
  </si>
  <si>
    <t>HopDongPhuTai_DotKH</t>
  </si>
  <si>
    <t>SoHDPT / Dot</t>
  </si>
  <si>
    <t>SoTien / NgayKHTraPT</t>
  </si>
  <si>
    <t>Tiền / Ngày</t>
  </si>
  <si>
    <t>Chỉ theo dõi</t>
  </si>
  <si>
    <t>HopDongPhuTai_DotTraNCC</t>
  </si>
  <si>
    <t>SoHDPT / SoHDMua</t>
  </si>
  <si>
    <t>Ngay / SoTien / LoaiTien / TyGia</t>
  </si>
  <si>
    <t>QuyDoiVND</t>
  </si>
  <si>
    <t>= SoTien × TyGia</t>
  </si>
  <si>
    <t>NgayOxyChuyenPT / SoTienVND</t>
  </si>
  <si>
    <t>Sinh dòng DongTienPhuTai</t>
  </si>
  <si>
    <t>NgayPTChuyenNCC / SoTienNguyenTe / LoaiTien / TyGia</t>
  </si>
  <si>
    <t>= SoTienNguyenTe × TyGia</t>
  </si>
  <si>
    <t>MaGD</t>
  </si>
  <si>
    <t>Chieu</t>
  </si>
  <si>
    <t>Thu về PT / Chi từ PT</t>
  </si>
  <si>
    <t>Nghĩa chờ Q-04</t>
  </si>
  <si>
    <t>NguonPhatSinh</t>
  </si>
  <si>
    <t>Tự động / Nhập tay</t>
  </si>
  <si>
    <t>Lý do điều chỉnh</t>
  </si>
  <si>
    <t>MA TRẬN QUYỀN MẶC ĐỊNH (D-25 — chờ xác nhận Q-06)</t>
  </si>
  <si>
    <t>Căn cứ spec: Sales xem được Khách hàng; Admin xem được Hợp đồng; Kế toán và Giám đốc xem được hết. Phần còn lại Claude đề xuất.</t>
  </si>
  <si>
    <t>Chức năng</t>
  </si>
  <si>
    <t>Giám đốc</t>
  </si>
  <si>
    <t>Kế toán</t>
  </si>
  <si>
    <t>Sale</t>
  </si>
  <si>
    <t>Admin</t>
  </si>
  <si>
    <t>Chỉ xem</t>
  </si>
  <si>
    <t>Quản lý tài khoản &amp; phân quyền</t>
  </si>
  <si>
    <t>Sửa</t>
  </si>
  <si>
    <t>—</t>
  </si>
  <si>
    <t>Danh mục Nguồn tiền</t>
  </si>
  <si>
    <t>Sổ quỹ — lập phiếu</t>
  </si>
  <si>
    <t>Lập đề nghị (Nháp)</t>
  </si>
  <si>
    <t>Sổ quỹ — duyệt phiếu</t>
  </si>
  <si>
    <t>Duyệt</t>
  </si>
  <si>
    <t>Chi phí thực hiện HĐ — lập</t>
  </si>
  <si>
    <t>Sửa (HĐ của mình)</t>
  </si>
  <si>
    <t>Chi phí thực hiện HĐ — duyệt</t>
  </si>
  <si>
    <t>Công nợ phải thu / phải trả</t>
  </si>
  <si>
    <t>Xem (HĐ của mình)</t>
  </si>
  <si>
    <t>HĐ Bán — Tab 1, 2, 5</t>
  </si>
  <si>
    <t>HĐ Bán — Tab 3 (giá trị, đợt TT)</t>
  </si>
  <si>
    <t>Sửa (ngày &amp; số thực thu)</t>
  </si>
  <si>
    <t>Sửa (HĐ của mình, trừ thực thu)</t>
  </si>
  <si>
    <t>HĐ Bán — Ghi nhận giao hàng</t>
  </si>
  <si>
    <t>HĐ Mua — mọi tab</t>
  </si>
  <si>
    <t>Sửa (Tab 4)</t>
  </si>
  <si>
    <t>Xem (liên quan HĐ của mình)</t>
  </si>
  <si>
    <t>HĐ Mua — Nhập kho</t>
  </si>
  <si>
    <t>Kho — Danh mục kho, loại hàng</t>
  </si>
  <si>
    <t>Kho — Phiếu nhập/xuất tay</t>
  </si>
  <si>
    <t>Kho — Tồn kho, giá trị theo HĐ</t>
  </si>
  <si>
    <t>Phú Tài — mọi tab</t>
  </si>
  <si>
    <t>Phú Tài — sửa tỷ lệ chia</t>
  </si>
  <si>
    <t>Duyệt xoá</t>
  </si>
  <si>
    <t>Duyệt (phiếu kế toán)</t>
  </si>
  <si>
    <t>Gửi yêu cầu</t>
  </si>
  <si>
    <t>Import dữ liệu</t>
  </si>
  <si>
    <t>Xem tất cả thẻ</t>
  </si>
  <si>
    <t>Thẻ Kế toán, Phú Tài</t>
  </si>
  <si>
    <t>Thẻ HĐ của mình</t>
  </si>
  <si>
    <t>Thẻ HĐ, hồ sơ</t>
  </si>
  <si>
    <t>Thẻ Kho</t>
  </si>
  <si>
    <t>TỔNG HỢP</t>
  </si>
  <si>
    <t>Tổng</t>
  </si>
  <si>
    <t>Ưu tiên Cao</t>
  </si>
  <si>
    <t>Có câu hỏi mở</t>
  </si>
  <si>
    <t>Hoàn thành</t>
  </si>
  <si>
    <t>% Hoàn thành</t>
  </si>
  <si>
    <t>TỔNG</t>
  </si>
  <si>
    <t>Quyết định / Câu hỏi</t>
  </si>
  <si>
    <t>Số lượng</t>
  </si>
  <si>
    <t>Quyết định — Chờ xác nhận</t>
  </si>
  <si>
    <t>Quyết định — Đồng ý</t>
  </si>
  <si>
    <t>Quyết định — Cần sửa</t>
  </si>
  <si>
    <t>Câu hỏi — Chưa trả lời</t>
  </si>
  <si>
    <t>Câu hỏi — Đã trả lời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</si>
</sst>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4"/>
      <name val="Times New Roman"/>
    </font>
    <font>
      <i/>
      <sz val="10"/>
      <color rgb="FF555555"/>
      <name val="Times New Roman"/>
    </font>
    <font>
      <b/>
      <sz val="11"/>
      <color rgb="FFFFFFFF"/>
      <name val="Times New Roman"/>
    </font>
    <font>
      <sz val="11"/>
      <name val="Times New Roman"/>
    </font>
    <font>
      <b/>
      <sz val="11"/>
      <name val="Times New Roman"/>
    </font>
    <font>
      <b/>
      <sz val="11"/>
      <name val="Times New Roman"/>
    </font>
    <font>
      <sz val="11"/>
      <color rgb="FF888888"/>
      <name val="Times New Roman"/>
    </font>
    <font>
      <sz val="11"/>
      <name val="Times New Roman"/>
    </font>
  </fonts>
  <fills count="13">
    <fill>
      <patternFill patternType="none"/>
    </fill>
    <fill>
      <patternFill patternType="gray125"/>
    </fill>
    <fill>
      <patternFill patternType="solid">
        <fgColor rgb="FF1F4E78"/>
      </patternFill>
    </fill>
    <fill>
      <patternFill patternType="solid">
        <fgColor rgb="FFEDEDED"/>
      </patternFill>
    </fill>
    <fill>
      <patternFill patternType="solid">
        <fgColor rgb="FFE2EFDA"/>
      </patternFill>
    </fill>
    <fill>
      <patternFill patternType="solid">
        <fgColor rgb="FFFFF2CC"/>
      </patternFill>
    </fill>
    <fill>
      <patternFill patternType="solid">
        <fgColor rgb="FFF8CBAD"/>
      </patternFill>
    </fill>
    <fill>
      <patternFill patternType="solid">
        <fgColor rgb="FFDDEBF7"/>
      </patternFill>
    </fill>
    <fill>
      <patternFill patternType="solid">
        <fgColor rgb="FFFCE4D6"/>
      </patternFill>
    </fill>
    <fill>
      <patternFill patternType="solid">
        <fgColor rgb="FFEADCF1"/>
      </patternFill>
    </fill>
    <fill>
      <patternFill patternType="solid">
        <fgColor rgb="FFC6EFCE"/>
      </patternFill>
    </fill>
    <fill>
      <patternFill patternType="solid">
        <fgColor rgb="FFF2F2F2"/>
      </patternFill>
    </fill>
    <fill>
      <patternFill patternType="solid">
        <fgColor rgb="FFBDD7EE"/>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4"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4"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4" fillId="12" borderId="1" xfId="0" applyFont="1" applyFill="1" applyBorder="1" applyAlignment="1">
      <alignment horizontal="center" vertical="top" wrapText="1"/>
    </xf>
    <xf numFmtId="0" fontId="8" fillId="3" borderId="1" xfId="0" applyFont="1" applyFill="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center"/>
    </xf>
    <xf numFmtId="0" fontId="8" fillId="4" borderId="1" xfId="0" applyFont="1" applyFill="1" applyBorder="1" applyAlignment="1">
      <alignment horizontal="left"/>
    </xf>
    <xf numFmtId="0" fontId="8" fillId="7" borderId="1" xfId="0" applyFont="1" applyFill="1" applyBorder="1" applyAlignment="1">
      <alignment horizontal="left"/>
    </xf>
    <xf numFmtId="0" fontId="8" fillId="8" borderId="1" xfId="0" applyFont="1" applyFill="1" applyBorder="1" applyAlignment="1">
      <alignment horizontal="left"/>
    </xf>
    <xf numFmtId="0" fontId="8" fillId="9" borderId="1" xfId="0" applyFont="1" applyFill="1" applyBorder="1" applyAlignment="1">
      <alignment horizontal="left"/>
    </xf>
    <xf numFmtId="0" fontId="6" fillId="0" borderId="1" xfId="0" applyFont="1" applyBorder="1" applyAlignment="1">
      <alignment horizontal="left"/>
    </xf>
    <xf numFmtId="0" fontId="6" fillId="0" borderId="1" xfId="0" applyFont="1" applyBorder="1" applyAlignment="1">
      <alignment horizontal="center"/>
    </xf>
    <xf numFmtId="164" fontId="6" fillId="0" borderId="1" xfId="0" applyNumberFormat="1" applyFont="1" applyBorder="1" applyAlignment="1">
      <alignment horizontal="center"/>
    </xf>
    <xf numFmtId="0" fontId="8"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heetViews>
  <sheetFormatPr defaultRowHeight="15" x14ac:dyDescent="0.25"/>
  <cols>
    <col min="1" max="1" width="26" customWidth="1"/>
    <col min="2" max="2" width="110" customWidth="1"/>
  </cols>
  <sheetData>
    <row r="1" spans="1:2" ht="18.75" x14ac:dyDescent="0.3">
      <c r="A1" s="1" t="s">
        <v>0</v>
      </c>
    </row>
    <row r="2" spans="1:2" x14ac:dyDescent="0.25">
      <c r="A2" s="2" t="s">
        <v>1</v>
      </c>
    </row>
    <row r="4" spans="1:2" ht="32.1" customHeight="1" x14ac:dyDescent="0.25">
      <c r="A4" s="3" t="s">
        <v>2</v>
      </c>
      <c r="B4" s="3" t="s">
        <v>3</v>
      </c>
    </row>
    <row r="5" spans="1:2" ht="30" x14ac:dyDescent="0.25">
      <c r="A5" s="4" t="s">
        <v>4</v>
      </c>
      <c r="B5" s="4" t="s">
        <v>5</v>
      </c>
    </row>
    <row r="6" spans="1:2" ht="30" x14ac:dyDescent="0.25">
      <c r="A6" s="4" t="s">
        <v>6</v>
      </c>
      <c r="B6" s="4" t="s">
        <v>7</v>
      </c>
    </row>
    <row r="7" spans="1:2" x14ac:dyDescent="0.25">
      <c r="A7" s="4" t="s">
        <v>8</v>
      </c>
      <c r="B7" s="4" t="s">
        <v>9</v>
      </c>
    </row>
    <row r="8" spans="1:2" x14ac:dyDescent="0.25">
      <c r="A8" s="4" t="s">
        <v>10</v>
      </c>
      <c r="B8" s="4" t="s">
        <v>11</v>
      </c>
    </row>
    <row r="9" spans="1:2" x14ac:dyDescent="0.25">
      <c r="A9" s="4" t="s">
        <v>12</v>
      </c>
      <c r="B9" s="4" t="s">
        <v>13</v>
      </c>
    </row>
    <row r="10" spans="1:2" x14ac:dyDescent="0.25">
      <c r="A10" s="4" t="s">
        <v>14</v>
      </c>
      <c r="B10" s="4" t="s">
        <v>15</v>
      </c>
    </row>
    <row r="11" spans="1:2" x14ac:dyDescent="0.25">
      <c r="A11" s="4" t="s">
        <v>16</v>
      </c>
      <c r="B11" s="4" t="s">
        <v>17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workbookViewId="0">
      <pane xSplit="5" ySplit="4" topLeftCell="F5" activePane="bottomRight" state="frozen"/>
      <selection pane="topRight"/>
      <selection pane="bottomLeft"/>
      <selection pane="bottomRight"/>
    </sheetView>
  </sheetViews>
  <sheetFormatPr defaultRowHeight="15" x14ac:dyDescent="0.25"/>
  <cols>
    <col min="1" max="1" width="5" customWidth="1"/>
    <col min="3" max="3" width="15" customWidth="1"/>
    <col min="4" max="4" width="24" customWidth="1"/>
    <col min="5" max="5" width="22" customWidth="1"/>
    <col min="6" max="6" width="28" customWidth="1"/>
    <col min="7" max="7" width="62" customWidth="1"/>
    <col min="8" max="8" width="55" customWidth="1"/>
    <col min="9" max="9" width="13" customWidth="1"/>
    <col min="10" max="10" width="22" customWidth="1"/>
    <col min="11" max="11" width="16" customWidth="1"/>
    <col min="12" max="12" width="12" customWidth="1"/>
    <col min="13" max="14" width="10" customWidth="1"/>
    <col min="15" max="15" width="34" customWidth="1"/>
    <col min="16" max="17" width="14" customWidth="1"/>
  </cols>
  <sheetData>
    <row r="1" spans="1:17" ht="18.75" x14ac:dyDescent="0.3">
      <c r="A1" s="1" t="s">
        <v>18</v>
      </c>
    </row>
    <row r="2" spans="1:17" x14ac:dyDescent="0.25">
      <c r="A2" s="2" t="s">
        <v>19</v>
      </c>
    </row>
    <row r="4" spans="1:17" ht="32.1" customHeight="1" x14ac:dyDescent="0.25">
      <c r="A4" s="3" t="s">
        <v>20</v>
      </c>
      <c r="B4" s="3"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row>
    <row r="5" spans="1:17" ht="120" x14ac:dyDescent="0.25">
      <c r="A5" s="5">
        <v>1</v>
      </c>
      <c r="B5" s="5" t="s">
        <v>37</v>
      </c>
      <c r="C5" s="6" t="s">
        <v>38</v>
      </c>
      <c r="D5" s="4" t="s">
        <v>39</v>
      </c>
      <c r="E5" s="4" t="s">
        <v>40</v>
      </c>
      <c r="F5" s="7" t="s">
        <v>41</v>
      </c>
      <c r="G5" s="4" t="s">
        <v>42</v>
      </c>
      <c r="H5" s="4" t="s">
        <v>43</v>
      </c>
      <c r="I5" s="5" t="s">
        <v>44</v>
      </c>
      <c r="J5" s="4" t="s">
        <v>45</v>
      </c>
      <c r="K5" s="4"/>
      <c r="L5" s="8" t="s">
        <v>46</v>
      </c>
      <c r="M5" s="5"/>
      <c r="N5" s="5" t="s">
        <v>47</v>
      </c>
      <c r="O5" s="4" t="s">
        <v>48</v>
      </c>
      <c r="P5" s="9"/>
      <c r="Q5" s="10"/>
    </row>
    <row r="6" spans="1:17" ht="60" x14ac:dyDescent="0.25">
      <c r="A6" s="5">
        <v>2</v>
      </c>
      <c r="B6" s="5" t="s">
        <v>49</v>
      </c>
      <c r="C6" s="6" t="s">
        <v>38</v>
      </c>
      <c r="D6" s="4" t="s">
        <v>39</v>
      </c>
      <c r="E6" s="4" t="s">
        <v>50</v>
      </c>
      <c r="F6" s="7" t="s">
        <v>51</v>
      </c>
      <c r="G6" s="4" t="s">
        <v>52</v>
      </c>
      <c r="H6" s="4" t="s">
        <v>53</v>
      </c>
      <c r="I6" s="5" t="s">
        <v>44</v>
      </c>
      <c r="J6" s="4" t="s">
        <v>45</v>
      </c>
      <c r="K6" s="4" t="s">
        <v>37</v>
      </c>
      <c r="L6" s="8" t="s">
        <v>46</v>
      </c>
      <c r="M6" s="5"/>
      <c r="N6" s="5" t="s">
        <v>47</v>
      </c>
      <c r="O6" s="4"/>
      <c r="P6" s="9"/>
      <c r="Q6" s="10"/>
    </row>
    <row r="7" spans="1:17" ht="60" x14ac:dyDescent="0.25">
      <c r="A7" s="5">
        <v>3</v>
      </c>
      <c r="B7" s="5" t="s">
        <v>54</v>
      </c>
      <c r="C7" s="6" t="s">
        <v>38</v>
      </c>
      <c r="D7" s="4" t="s">
        <v>55</v>
      </c>
      <c r="E7" s="4" t="s">
        <v>56</v>
      </c>
      <c r="F7" s="7" t="s">
        <v>57</v>
      </c>
      <c r="G7" s="4" t="s">
        <v>58</v>
      </c>
      <c r="H7" s="4" t="s">
        <v>59</v>
      </c>
      <c r="I7" s="5" t="s">
        <v>60</v>
      </c>
      <c r="J7" s="4" t="s">
        <v>61</v>
      </c>
      <c r="K7" s="4" t="s">
        <v>37</v>
      </c>
      <c r="L7" s="8" t="s">
        <v>62</v>
      </c>
      <c r="M7" s="5"/>
      <c r="N7" s="5" t="s">
        <v>47</v>
      </c>
      <c r="O7" s="4"/>
      <c r="P7" s="9"/>
      <c r="Q7" s="10"/>
    </row>
    <row r="8" spans="1:17" ht="90" x14ac:dyDescent="0.25">
      <c r="A8" s="5">
        <v>4</v>
      </c>
      <c r="B8" s="5" t="s">
        <v>63</v>
      </c>
      <c r="C8" s="6" t="s">
        <v>38</v>
      </c>
      <c r="D8" s="4" t="s">
        <v>64</v>
      </c>
      <c r="E8" s="4" t="s">
        <v>65</v>
      </c>
      <c r="F8" s="7" t="s">
        <v>66</v>
      </c>
      <c r="G8" s="4" t="s">
        <v>67</v>
      </c>
      <c r="H8" s="4" t="s">
        <v>68</v>
      </c>
      <c r="I8" s="5" t="s">
        <v>44</v>
      </c>
      <c r="J8" s="4" t="s">
        <v>69</v>
      </c>
      <c r="K8" s="4" t="s">
        <v>54</v>
      </c>
      <c r="L8" s="8" t="s">
        <v>62</v>
      </c>
      <c r="M8" s="11" t="s">
        <v>70</v>
      </c>
      <c r="N8" s="5" t="s">
        <v>47</v>
      </c>
      <c r="O8" s="4" t="s">
        <v>71</v>
      </c>
      <c r="P8" s="9"/>
      <c r="Q8" s="10"/>
    </row>
    <row r="9" spans="1:17" ht="105" x14ac:dyDescent="0.25">
      <c r="A9" s="5">
        <v>5</v>
      </c>
      <c r="B9" s="5" t="s">
        <v>72</v>
      </c>
      <c r="C9" s="6" t="s">
        <v>38</v>
      </c>
      <c r="D9" s="4" t="s">
        <v>73</v>
      </c>
      <c r="E9" s="4" t="s">
        <v>74</v>
      </c>
      <c r="F9" s="7" t="s">
        <v>75</v>
      </c>
      <c r="G9" s="4" t="s">
        <v>76</v>
      </c>
      <c r="H9" s="4" t="s">
        <v>77</v>
      </c>
      <c r="I9" s="5" t="s">
        <v>44</v>
      </c>
      <c r="J9" s="4"/>
      <c r="K9" s="4" t="s">
        <v>37</v>
      </c>
      <c r="L9" s="5"/>
      <c r="M9" s="5"/>
      <c r="N9" s="5" t="s">
        <v>47</v>
      </c>
      <c r="O9" s="4"/>
      <c r="P9" s="9"/>
      <c r="Q9" s="10"/>
    </row>
    <row r="10" spans="1:17" ht="90" x14ac:dyDescent="0.25">
      <c r="A10" s="5">
        <v>6</v>
      </c>
      <c r="B10" s="5" t="s">
        <v>78</v>
      </c>
      <c r="C10" s="6" t="s">
        <v>38</v>
      </c>
      <c r="D10" s="4" t="s">
        <v>79</v>
      </c>
      <c r="E10" s="4" t="s">
        <v>80</v>
      </c>
      <c r="F10" s="7" t="s">
        <v>81</v>
      </c>
      <c r="G10" s="4" t="s">
        <v>82</v>
      </c>
      <c r="H10" s="4" t="s">
        <v>83</v>
      </c>
      <c r="I10" s="5" t="s">
        <v>84</v>
      </c>
      <c r="J10" s="4"/>
      <c r="K10" s="4" t="s">
        <v>85</v>
      </c>
      <c r="L10" s="5"/>
      <c r="M10" s="11" t="s">
        <v>86</v>
      </c>
      <c r="N10" s="5" t="s">
        <v>87</v>
      </c>
      <c r="O10" s="4"/>
      <c r="P10" s="9"/>
      <c r="Q10" s="10"/>
    </row>
    <row r="11" spans="1:17" ht="120" x14ac:dyDescent="0.25">
      <c r="A11" s="5">
        <v>7</v>
      </c>
      <c r="B11" s="5" t="s">
        <v>88</v>
      </c>
      <c r="C11" s="6" t="s">
        <v>38</v>
      </c>
      <c r="D11" s="4" t="s">
        <v>79</v>
      </c>
      <c r="E11" s="4" t="s">
        <v>89</v>
      </c>
      <c r="F11" s="7" t="s">
        <v>90</v>
      </c>
      <c r="G11" s="4" t="s">
        <v>91</v>
      </c>
      <c r="H11" s="4" t="s">
        <v>92</v>
      </c>
      <c r="I11" s="5" t="s">
        <v>93</v>
      </c>
      <c r="J11" s="4" t="s">
        <v>94</v>
      </c>
      <c r="K11" s="4" t="s">
        <v>95</v>
      </c>
      <c r="L11" s="8" t="s">
        <v>96</v>
      </c>
      <c r="M11" s="11" t="s">
        <v>86</v>
      </c>
      <c r="N11" s="5" t="s">
        <v>97</v>
      </c>
      <c r="O11" s="4" t="s">
        <v>98</v>
      </c>
      <c r="P11" s="9"/>
      <c r="Q11" s="10"/>
    </row>
    <row r="12" spans="1:17" ht="105" x14ac:dyDescent="0.25">
      <c r="A12" s="5">
        <v>8</v>
      </c>
      <c r="B12" s="5" t="s">
        <v>99</v>
      </c>
      <c r="C12" s="6" t="s">
        <v>38</v>
      </c>
      <c r="D12" s="4" t="s">
        <v>100</v>
      </c>
      <c r="E12" s="4" t="s">
        <v>65</v>
      </c>
      <c r="F12" s="7" t="s">
        <v>101</v>
      </c>
      <c r="G12" s="4" t="s">
        <v>102</v>
      </c>
      <c r="H12" s="4" t="s">
        <v>103</v>
      </c>
      <c r="I12" s="5" t="s">
        <v>84</v>
      </c>
      <c r="J12" s="4"/>
      <c r="K12" s="4"/>
      <c r="L12" s="5"/>
      <c r="M12" s="11" t="s">
        <v>86</v>
      </c>
      <c r="N12" s="5" t="s">
        <v>47</v>
      </c>
      <c r="O12" s="4" t="s">
        <v>104</v>
      </c>
      <c r="P12" s="9"/>
      <c r="Q12" s="10"/>
    </row>
    <row r="13" spans="1:17" ht="75" x14ac:dyDescent="0.25">
      <c r="A13" s="5">
        <v>9</v>
      </c>
      <c r="B13" s="5" t="s">
        <v>105</v>
      </c>
      <c r="C13" s="6" t="s">
        <v>38</v>
      </c>
      <c r="D13" s="4" t="s">
        <v>106</v>
      </c>
      <c r="E13" s="4" t="s">
        <v>107</v>
      </c>
      <c r="F13" s="7" t="s">
        <v>108</v>
      </c>
      <c r="G13" s="4" t="s">
        <v>109</v>
      </c>
      <c r="H13" s="4" t="s">
        <v>110</v>
      </c>
      <c r="I13" s="5" t="s">
        <v>84</v>
      </c>
      <c r="J13" s="4"/>
      <c r="K13" s="4" t="s">
        <v>99</v>
      </c>
      <c r="L13" s="5"/>
      <c r="M13" s="5"/>
      <c r="N13" s="5" t="s">
        <v>47</v>
      </c>
      <c r="O13" s="4" t="s">
        <v>111</v>
      </c>
      <c r="P13" s="9"/>
      <c r="Q13" s="10"/>
    </row>
    <row r="14" spans="1:17" ht="60" x14ac:dyDescent="0.25">
      <c r="A14" s="5">
        <v>10</v>
      </c>
      <c r="B14" s="5" t="s">
        <v>112</v>
      </c>
      <c r="C14" s="6" t="s">
        <v>38</v>
      </c>
      <c r="D14" s="4" t="s">
        <v>113</v>
      </c>
      <c r="E14" s="4" t="s">
        <v>114</v>
      </c>
      <c r="F14" s="7" t="s">
        <v>115</v>
      </c>
      <c r="G14" s="4" t="s">
        <v>116</v>
      </c>
      <c r="H14" s="4" t="s">
        <v>117</v>
      </c>
      <c r="I14" s="5" t="s">
        <v>44</v>
      </c>
      <c r="J14" s="4" t="s">
        <v>118</v>
      </c>
      <c r="K14" s="4"/>
      <c r="L14" s="5"/>
      <c r="M14" s="5"/>
      <c r="N14" s="5" t="s">
        <v>47</v>
      </c>
      <c r="O14" s="4"/>
      <c r="P14" s="9"/>
      <c r="Q14" s="10"/>
    </row>
    <row r="15" spans="1:17" ht="120" x14ac:dyDescent="0.25">
      <c r="A15" s="5">
        <v>11</v>
      </c>
      <c r="B15" s="5" t="s">
        <v>119</v>
      </c>
      <c r="C15" s="6" t="s">
        <v>38</v>
      </c>
      <c r="D15" s="4" t="s">
        <v>120</v>
      </c>
      <c r="E15" s="4" t="s">
        <v>121</v>
      </c>
      <c r="F15" s="7" t="s">
        <v>122</v>
      </c>
      <c r="G15" s="4" t="s">
        <v>123</v>
      </c>
      <c r="H15" s="4" t="s">
        <v>124</v>
      </c>
      <c r="I15" s="5" t="s">
        <v>125</v>
      </c>
      <c r="J15" s="4" t="s">
        <v>126</v>
      </c>
      <c r="K15" s="4" t="s">
        <v>63</v>
      </c>
      <c r="L15" s="5"/>
      <c r="M15" s="5"/>
      <c r="N15" s="5" t="s">
        <v>47</v>
      </c>
      <c r="O15" s="4" t="s">
        <v>127</v>
      </c>
      <c r="P15" s="9"/>
      <c r="Q15" s="10"/>
    </row>
    <row r="16" spans="1:17" ht="90" x14ac:dyDescent="0.25">
      <c r="A16" s="5">
        <v>12</v>
      </c>
      <c r="B16" s="5" t="s">
        <v>128</v>
      </c>
      <c r="C16" s="6" t="s">
        <v>38</v>
      </c>
      <c r="D16" s="4" t="s">
        <v>129</v>
      </c>
      <c r="E16" s="4" t="s">
        <v>130</v>
      </c>
      <c r="F16" s="7" t="s">
        <v>131</v>
      </c>
      <c r="G16" s="4" t="s">
        <v>132</v>
      </c>
      <c r="H16" s="4" t="s">
        <v>133</v>
      </c>
      <c r="I16" s="5" t="s">
        <v>134</v>
      </c>
      <c r="J16" s="4" t="s">
        <v>135</v>
      </c>
      <c r="K16" s="4" t="s">
        <v>72</v>
      </c>
      <c r="L16" s="8" t="s">
        <v>136</v>
      </c>
      <c r="M16" s="11" t="s">
        <v>137</v>
      </c>
      <c r="N16" s="5" t="s">
        <v>47</v>
      </c>
      <c r="O16" s="4"/>
      <c r="P16" s="9"/>
      <c r="Q16" s="10"/>
    </row>
    <row r="17" spans="1:17" ht="75" x14ac:dyDescent="0.25">
      <c r="A17" s="5">
        <v>13</v>
      </c>
      <c r="B17" s="5" t="s">
        <v>138</v>
      </c>
      <c r="C17" s="6" t="s">
        <v>38</v>
      </c>
      <c r="D17" s="4" t="s">
        <v>139</v>
      </c>
      <c r="E17" s="4" t="s">
        <v>140</v>
      </c>
      <c r="F17" s="7" t="s">
        <v>141</v>
      </c>
      <c r="G17" s="4" t="s">
        <v>142</v>
      </c>
      <c r="H17" s="4" t="s">
        <v>143</v>
      </c>
      <c r="I17" s="5" t="s">
        <v>134</v>
      </c>
      <c r="J17" s="4" t="s">
        <v>118</v>
      </c>
      <c r="K17" s="4" t="s">
        <v>112</v>
      </c>
      <c r="L17" s="8" t="s">
        <v>144</v>
      </c>
      <c r="M17" s="11" t="s">
        <v>145</v>
      </c>
      <c r="N17" s="5" t="s">
        <v>87</v>
      </c>
      <c r="O17" s="4"/>
      <c r="P17" s="9"/>
      <c r="Q17" s="10"/>
    </row>
    <row r="18" spans="1:17" ht="60" x14ac:dyDescent="0.25">
      <c r="A18" s="5">
        <v>14</v>
      </c>
      <c r="B18" s="5" t="s">
        <v>146</v>
      </c>
      <c r="C18" s="6" t="s">
        <v>38</v>
      </c>
      <c r="D18" s="4" t="s">
        <v>147</v>
      </c>
      <c r="E18" s="4" t="s">
        <v>148</v>
      </c>
      <c r="F18" s="7" t="s">
        <v>149</v>
      </c>
      <c r="G18" s="4" t="s">
        <v>150</v>
      </c>
      <c r="H18" s="4" t="s">
        <v>151</v>
      </c>
      <c r="I18" s="5" t="s">
        <v>44</v>
      </c>
      <c r="J18" s="4" t="s">
        <v>152</v>
      </c>
      <c r="K18" s="4" t="s">
        <v>63</v>
      </c>
      <c r="L18" s="8" t="s">
        <v>153</v>
      </c>
      <c r="M18" s="5"/>
      <c r="N18" s="5" t="s">
        <v>87</v>
      </c>
      <c r="O18" s="4"/>
      <c r="P18" s="9"/>
      <c r="Q18" s="10"/>
    </row>
    <row r="19" spans="1:17" ht="90" x14ac:dyDescent="0.25">
      <c r="A19" s="5">
        <v>15</v>
      </c>
      <c r="B19" s="5" t="s">
        <v>154</v>
      </c>
      <c r="C19" s="12" t="s">
        <v>155</v>
      </c>
      <c r="D19" s="4" t="s">
        <v>156</v>
      </c>
      <c r="E19" s="4" t="s">
        <v>157</v>
      </c>
      <c r="F19" s="7" t="s">
        <v>158</v>
      </c>
      <c r="G19" s="4" t="s">
        <v>159</v>
      </c>
      <c r="H19" s="4" t="s">
        <v>160</v>
      </c>
      <c r="I19" s="5" t="s">
        <v>60</v>
      </c>
      <c r="J19" s="4" t="s">
        <v>161</v>
      </c>
      <c r="K19" s="4"/>
      <c r="L19" s="5"/>
      <c r="M19" s="5"/>
      <c r="N19" s="5" t="s">
        <v>47</v>
      </c>
      <c r="O19" s="4"/>
      <c r="P19" s="9"/>
      <c r="Q19" s="10"/>
    </row>
    <row r="20" spans="1:17" ht="105" x14ac:dyDescent="0.25">
      <c r="A20" s="5">
        <v>16</v>
      </c>
      <c r="B20" s="5" t="s">
        <v>162</v>
      </c>
      <c r="C20" s="12" t="s">
        <v>155</v>
      </c>
      <c r="D20" s="4" t="s">
        <v>156</v>
      </c>
      <c r="E20" s="4" t="s">
        <v>157</v>
      </c>
      <c r="F20" s="7" t="s">
        <v>163</v>
      </c>
      <c r="G20" s="4" t="s">
        <v>164</v>
      </c>
      <c r="H20" s="4" t="s">
        <v>165</v>
      </c>
      <c r="I20" s="5" t="s">
        <v>166</v>
      </c>
      <c r="J20" s="4" t="s">
        <v>167</v>
      </c>
      <c r="K20" s="4" t="s">
        <v>168</v>
      </c>
      <c r="L20" s="8" t="s">
        <v>169</v>
      </c>
      <c r="M20" s="5"/>
      <c r="N20" s="5" t="s">
        <v>47</v>
      </c>
      <c r="O20" s="4"/>
      <c r="P20" s="9"/>
      <c r="Q20" s="10"/>
    </row>
    <row r="21" spans="1:17" ht="90" x14ac:dyDescent="0.25">
      <c r="A21" s="5">
        <v>17</v>
      </c>
      <c r="B21" s="5" t="s">
        <v>170</v>
      </c>
      <c r="C21" s="12" t="s">
        <v>155</v>
      </c>
      <c r="D21" s="4" t="s">
        <v>171</v>
      </c>
      <c r="E21" s="4" t="s">
        <v>172</v>
      </c>
      <c r="F21" s="7" t="s">
        <v>173</v>
      </c>
      <c r="G21" s="4" t="s">
        <v>174</v>
      </c>
      <c r="H21" s="4" t="s">
        <v>175</v>
      </c>
      <c r="I21" s="5" t="s">
        <v>60</v>
      </c>
      <c r="J21" s="4" t="s">
        <v>176</v>
      </c>
      <c r="K21" s="4"/>
      <c r="L21" s="8" t="s">
        <v>177</v>
      </c>
      <c r="M21" s="5"/>
      <c r="N21" s="5" t="s">
        <v>47</v>
      </c>
      <c r="O21" s="4"/>
      <c r="P21" s="9"/>
      <c r="Q21" s="10"/>
    </row>
    <row r="22" spans="1:17" ht="105" x14ac:dyDescent="0.25">
      <c r="A22" s="5">
        <v>18</v>
      </c>
      <c r="B22" s="5" t="s">
        <v>178</v>
      </c>
      <c r="C22" s="12" t="s">
        <v>155</v>
      </c>
      <c r="D22" s="4" t="s">
        <v>179</v>
      </c>
      <c r="E22" s="4" t="s">
        <v>180</v>
      </c>
      <c r="F22" s="7" t="s">
        <v>181</v>
      </c>
      <c r="G22" s="4" t="s">
        <v>182</v>
      </c>
      <c r="H22" s="4" t="s">
        <v>183</v>
      </c>
      <c r="I22" s="5" t="s">
        <v>184</v>
      </c>
      <c r="J22" s="4" t="s">
        <v>185</v>
      </c>
      <c r="K22" s="4" t="s">
        <v>186</v>
      </c>
      <c r="L22" s="8" t="s">
        <v>187</v>
      </c>
      <c r="M22" s="5"/>
      <c r="N22" s="5" t="s">
        <v>47</v>
      </c>
      <c r="O22" s="4"/>
      <c r="P22" s="9"/>
      <c r="Q22" s="10"/>
    </row>
    <row r="23" spans="1:17" ht="75" x14ac:dyDescent="0.25">
      <c r="A23" s="5">
        <v>19</v>
      </c>
      <c r="B23" s="5" t="s">
        <v>186</v>
      </c>
      <c r="C23" s="12" t="s">
        <v>155</v>
      </c>
      <c r="D23" s="4" t="s">
        <v>179</v>
      </c>
      <c r="E23" s="4" t="s">
        <v>188</v>
      </c>
      <c r="F23" s="7" t="s">
        <v>189</v>
      </c>
      <c r="G23" s="4" t="s">
        <v>190</v>
      </c>
      <c r="H23" s="4" t="s">
        <v>191</v>
      </c>
      <c r="I23" s="5" t="s">
        <v>192</v>
      </c>
      <c r="J23" s="4" t="s">
        <v>185</v>
      </c>
      <c r="K23" s="4" t="s">
        <v>193</v>
      </c>
      <c r="L23" s="5"/>
      <c r="M23" s="5"/>
      <c r="N23" s="5" t="s">
        <v>47</v>
      </c>
      <c r="O23" s="4"/>
      <c r="P23" s="9"/>
      <c r="Q23" s="10"/>
    </row>
    <row r="24" spans="1:17" ht="60" x14ac:dyDescent="0.25">
      <c r="A24" s="5">
        <v>20</v>
      </c>
      <c r="B24" s="5" t="s">
        <v>194</v>
      </c>
      <c r="C24" s="12" t="s">
        <v>155</v>
      </c>
      <c r="D24" s="4" t="s">
        <v>179</v>
      </c>
      <c r="E24" s="4" t="s">
        <v>114</v>
      </c>
      <c r="F24" s="7" t="s">
        <v>195</v>
      </c>
      <c r="G24" s="4" t="s">
        <v>196</v>
      </c>
      <c r="H24" s="4" t="s">
        <v>197</v>
      </c>
      <c r="I24" s="5" t="s">
        <v>198</v>
      </c>
      <c r="J24" s="4" t="s">
        <v>199</v>
      </c>
      <c r="K24" s="4"/>
      <c r="L24" s="8" t="s">
        <v>200</v>
      </c>
      <c r="M24" s="5"/>
      <c r="N24" s="5" t="s">
        <v>47</v>
      </c>
      <c r="O24" s="4" t="s">
        <v>201</v>
      </c>
      <c r="P24" s="9"/>
      <c r="Q24" s="10"/>
    </row>
    <row r="25" spans="1:17" ht="60" x14ac:dyDescent="0.25">
      <c r="A25" s="5">
        <v>21</v>
      </c>
      <c r="B25" s="5" t="s">
        <v>202</v>
      </c>
      <c r="C25" s="12" t="s">
        <v>155</v>
      </c>
      <c r="D25" s="4" t="s">
        <v>179</v>
      </c>
      <c r="E25" s="4" t="s">
        <v>203</v>
      </c>
      <c r="F25" s="7" t="s">
        <v>204</v>
      </c>
      <c r="G25" s="4" t="s">
        <v>205</v>
      </c>
      <c r="H25" s="4" t="s">
        <v>206</v>
      </c>
      <c r="I25" s="5" t="s">
        <v>125</v>
      </c>
      <c r="J25" s="4" t="s">
        <v>185</v>
      </c>
      <c r="K25" s="4" t="s">
        <v>207</v>
      </c>
      <c r="L25" s="8" t="s">
        <v>208</v>
      </c>
      <c r="M25" s="5"/>
      <c r="N25" s="5" t="s">
        <v>47</v>
      </c>
      <c r="O25" s="4" t="s">
        <v>209</v>
      </c>
      <c r="P25" s="9"/>
      <c r="Q25" s="10"/>
    </row>
    <row r="26" spans="1:17" ht="60" x14ac:dyDescent="0.25">
      <c r="A26" s="5">
        <v>22</v>
      </c>
      <c r="B26" s="5" t="s">
        <v>210</v>
      </c>
      <c r="C26" s="12" t="s">
        <v>155</v>
      </c>
      <c r="D26" s="4" t="s">
        <v>179</v>
      </c>
      <c r="E26" s="4" t="s">
        <v>188</v>
      </c>
      <c r="F26" s="7" t="s">
        <v>211</v>
      </c>
      <c r="G26" s="4" t="s">
        <v>212</v>
      </c>
      <c r="H26" s="4" t="s">
        <v>213</v>
      </c>
      <c r="I26" s="5" t="s">
        <v>192</v>
      </c>
      <c r="J26" s="4" t="s">
        <v>185</v>
      </c>
      <c r="K26" s="4" t="s">
        <v>214</v>
      </c>
      <c r="L26" s="8" t="s">
        <v>215</v>
      </c>
      <c r="M26" s="5"/>
      <c r="N26" s="5" t="s">
        <v>87</v>
      </c>
      <c r="O26" s="4" t="s">
        <v>216</v>
      </c>
      <c r="P26" s="9"/>
      <c r="Q26" s="10"/>
    </row>
    <row r="27" spans="1:17" ht="30" x14ac:dyDescent="0.25">
      <c r="A27" s="5">
        <v>23</v>
      </c>
      <c r="B27" s="5" t="s">
        <v>217</v>
      </c>
      <c r="C27" s="12" t="s">
        <v>155</v>
      </c>
      <c r="D27" s="4" t="s">
        <v>179</v>
      </c>
      <c r="E27" s="4" t="s">
        <v>218</v>
      </c>
      <c r="F27" s="7" t="s">
        <v>219</v>
      </c>
      <c r="G27" s="4" t="s">
        <v>220</v>
      </c>
      <c r="H27" s="4" t="s">
        <v>221</v>
      </c>
      <c r="I27" s="5" t="s">
        <v>93</v>
      </c>
      <c r="J27" s="4" t="s">
        <v>185</v>
      </c>
      <c r="K27" s="4" t="s">
        <v>210</v>
      </c>
      <c r="L27" s="8" t="s">
        <v>215</v>
      </c>
      <c r="M27" s="5"/>
      <c r="N27" s="5" t="s">
        <v>97</v>
      </c>
      <c r="O27" s="4"/>
      <c r="P27" s="9"/>
      <c r="Q27" s="10"/>
    </row>
    <row r="28" spans="1:17" ht="60" x14ac:dyDescent="0.25">
      <c r="A28" s="5">
        <v>24</v>
      </c>
      <c r="B28" s="5" t="s">
        <v>222</v>
      </c>
      <c r="C28" s="12" t="s">
        <v>155</v>
      </c>
      <c r="D28" s="4" t="s">
        <v>223</v>
      </c>
      <c r="E28" s="4" t="s">
        <v>188</v>
      </c>
      <c r="F28" s="7" t="s">
        <v>224</v>
      </c>
      <c r="G28" s="4" t="s">
        <v>225</v>
      </c>
      <c r="H28" s="4" t="s">
        <v>226</v>
      </c>
      <c r="I28" s="5" t="s">
        <v>192</v>
      </c>
      <c r="J28" s="4" t="s">
        <v>185</v>
      </c>
      <c r="K28" s="4" t="s">
        <v>214</v>
      </c>
      <c r="L28" s="8" t="s">
        <v>227</v>
      </c>
      <c r="M28" s="5"/>
      <c r="N28" s="5" t="s">
        <v>47</v>
      </c>
      <c r="O28" s="4" t="s">
        <v>228</v>
      </c>
      <c r="P28" s="9"/>
      <c r="Q28" s="10"/>
    </row>
    <row r="29" spans="1:17" ht="60" x14ac:dyDescent="0.25">
      <c r="A29" s="5">
        <v>25</v>
      </c>
      <c r="B29" s="5" t="s">
        <v>229</v>
      </c>
      <c r="C29" s="12" t="s">
        <v>155</v>
      </c>
      <c r="D29" s="4" t="s">
        <v>230</v>
      </c>
      <c r="E29" s="4" t="s">
        <v>218</v>
      </c>
      <c r="F29" s="7" t="s">
        <v>231</v>
      </c>
      <c r="G29" s="4" t="s">
        <v>232</v>
      </c>
      <c r="H29" s="4" t="s">
        <v>233</v>
      </c>
      <c r="I29" s="5" t="s">
        <v>93</v>
      </c>
      <c r="J29" s="4" t="s">
        <v>234</v>
      </c>
      <c r="K29" s="4" t="s">
        <v>162</v>
      </c>
      <c r="L29" s="8" t="s">
        <v>227</v>
      </c>
      <c r="M29" s="5"/>
      <c r="N29" s="5" t="s">
        <v>87</v>
      </c>
      <c r="O29" s="4"/>
      <c r="P29" s="9"/>
      <c r="Q29" s="10"/>
    </row>
    <row r="30" spans="1:17" ht="60" x14ac:dyDescent="0.25">
      <c r="A30" s="5">
        <v>26</v>
      </c>
      <c r="B30" s="5" t="s">
        <v>235</v>
      </c>
      <c r="C30" s="12" t="s">
        <v>155</v>
      </c>
      <c r="D30" s="4" t="s">
        <v>236</v>
      </c>
      <c r="E30" s="4" t="s">
        <v>237</v>
      </c>
      <c r="F30" s="7" t="s">
        <v>238</v>
      </c>
      <c r="G30" s="4" t="s">
        <v>239</v>
      </c>
      <c r="H30" s="4" t="s">
        <v>240</v>
      </c>
      <c r="I30" s="5" t="s">
        <v>184</v>
      </c>
      <c r="J30" s="4" t="s">
        <v>241</v>
      </c>
      <c r="K30" s="4" t="s">
        <v>242</v>
      </c>
      <c r="L30" s="5"/>
      <c r="M30" s="5"/>
      <c r="N30" s="5" t="s">
        <v>47</v>
      </c>
      <c r="O30" s="4" t="s">
        <v>243</v>
      </c>
      <c r="P30" s="9"/>
      <c r="Q30" s="10"/>
    </row>
    <row r="31" spans="1:17" ht="75" x14ac:dyDescent="0.25">
      <c r="A31" s="5">
        <v>27</v>
      </c>
      <c r="B31" s="5" t="s">
        <v>242</v>
      </c>
      <c r="C31" s="12" t="s">
        <v>155</v>
      </c>
      <c r="D31" s="4" t="s">
        <v>236</v>
      </c>
      <c r="E31" s="4" t="s">
        <v>244</v>
      </c>
      <c r="F31" s="7" t="s">
        <v>245</v>
      </c>
      <c r="G31" s="4" t="s">
        <v>246</v>
      </c>
      <c r="H31" s="4" t="s">
        <v>247</v>
      </c>
      <c r="I31" s="5" t="s">
        <v>192</v>
      </c>
      <c r="J31" s="4" t="s">
        <v>241</v>
      </c>
      <c r="K31" s="4" t="s">
        <v>248</v>
      </c>
      <c r="L31" s="8" t="s">
        <v>200</v>
      </c>
      <c r="M31" s="5"/>
      <c r="N31" s="5" t="s">
        <v>47</v>
      </c>
      <c r="O31" s="4"/>
      <c r="P31" s="9"/>
      <c r="Q31" s="10"/>
    </row>
    <row r="32" spans="1:17" ht="45" x14ac:dyDescent="0.25">
      <c r="A32" s="5">
        <v>28</v>
      </c>
      <c r="B32" s="5" t="s">
        <v>249</v>
      </c>
      <c r="C32" s="12" t="s">
        <v>155</v>
      </c>
      <c r="D32" s="4" t="s">
        <v>236</v>
      </c>
      <c r="E32" s="4" t="s">
        <v>203</v>
      </c>
      <c r="F32" s="7" t="s">
        <v>250</v>
      </c>
      <c r="G32" s="4" t="s">
        <v>251</v>
      </c>
      <c r="H32" s="4" t="s">
        <v>252</v>
      </c>
      <c r="I32" s="5" t="s">
        <v>125</v>
      </c>
      <c r="J32" s="4" t="s">
        <v>241</v>
      </c>
      <c r="K32" s="4" t="s">
        <v>253</v>
      </c>
      <c r="L32" s="8" t="s">
        <v>254</v>
      </c>
      <c r="M32" s="5"/>
      <c r="N32" s="5" t="s">
        <v>47</v>
      </c>
      <c r="O32" s="4"/>
      <c r="P32" s="9"/>
      <c r="Q32" s="10"/>
    </row>
    <row r="33" spans="1:17" ht="75" x14ac:dyDescent="0.25">
      <c r="A33" s="5">
        <v>29</v>
      </c>
      <c r="B33" s="5" t="s">
        <v>255</v>
      </c>
      <c r="C33" s="12" t="s">
        <v>155</v>
      </c>
      <c r="D33" s="4" t="s">
        <v>256</v>
      </c>
      <c r="E33" s="4" t="s">
        <v>244</v>
      </c>
      <c r="F33" s="7" t="s">
        <v>257</v>
      </c>
      <c r="G33" s="4" t="s">
        <v>258</v>
      </c>
      <c r="H33" s="4" t="s">
        <v>259</v>
      </c>
      <c r="I33" s="5" t="s">
        <v>192</v>
      </c>
      <c r="J33" s="4" t="s">
        <v>241</v>
      </c>
      <c r="K33" s="4" t="s">
        <v>260</v>
      </c>
      <c r="L33" s="8" t="s">
        <v>261</v>
      </c>
      <c r="M33" s="5"/>
      <c r="N33" s="5" t="s">
        <v>47</v>
      </c>
      <c r="O33" s="4"/>
      <c r="P33" s="9"/>
      <c r="Q33" s="10"/>
    </row>
    <row r="34" spans="1:17" ht="60" x14ac:dyDescent="0.25">
      <c r="A34" s="5">
        <v>30</v>
      </c>
      <c r="B34" s="5" t="s">
        <v>262</v>
      </c>
      <c r="C34" s="12" t="s">
        <v>155</v>
      </c>
      <c r="D34" s="4" t="s">
        <v>263</v>
      </c>
      <c r="E34" s="4" t="s">
        <v>264</v>
      </c>
      <c r="F34" s="7" t="s">
        <v>265</v>
      </c>
      <c r="G34" s="4" t="s">
        <v>266</v>
      </c>
      <c r="H34" s="4" t="s">
        <v>267</v>
      </c>
      <c r="I34" s="5" t="s">
        <v>93</v>
      </c>
      <c r="J34" s="4" t="s">
        <v>241</v>
      </c>
      <c r="K34" s="4" t="s">
        <v>242</v>
      </c>
      <c r="L34" s="8" t="s">
        <v>268</v>
      </c>
      <c r="M34" s="5"/>
      <c r="N34" s="5" t="s">
        <v>87</v>
      </c>
      <c r="O34" s="4"/>
      <c r="P34" s="9"/>
      <c r="Q34" s="10"/>
    </row>
    <row r="35" spans="1:17" ht="75" x14ac:dyDescent="0.25">
      <c r="A35" s="5">
        <v>31</v>
      </c>
      <c r="B35" s="5" t="s">
        <v>269</v>
      </c>
      <c r="C35" s="12" t="s">
        <v>155</v>
      </c>
      <c r="D35" s="4" t="s">
        <v>270</v>
      </c>
      <c r="E35" s="4" t="s">
        <v>271</v>
      </c>
      <c r="F35" s="7" t="s">
        <v>272</v>
      </c>
      <c r="G35" s="4" t="s">
        <v>273</v>
      </c>
      <c r="H35" s="4" t="s">
        <v>274</v>
      </c>
      <c r="I35" s="5" t="s">
        <v>93</v>
      </c>
      <c r="J35" s="4" t="s">
        <v>275</v>
      </c>
      <c r="K35" s="4" t="s">
        <v>276</v>
      </c>
      <c r="L35" s="5"/>
      <c r="M35" s="5"/>
      <c r="N35" s="5" t="s">
        <v>47</v>
      </c>
      <c r="O35" s="4"/>
      <c r="P35" s="9"/>
      <c r="Q35" s="10"/>
    </row>
    <row r="36" spans="1:17" ht="60" x14ac:dyDescent="0.25">
      <c r="A36" s="5">
        <v>32</v>
      </c>
      <c r="B36" s="5" t="s">
        <v>277</v>
      </c>
      <c r="C36" s="12" t="s">
        <v>155</v>
      </c>
      <c r="D36" s="4" t="s">
        <v>270</v>
      </c>
      <c r="E36" s="4" t="s">
        <v>278</v>
      </c>
      <c r="F36" s="7" t="s">
        <v>279</v>
      </c>
      <c r="G36" s="4" t="s">
        <v>280</v>
      </c>
      <c r="H36" s="4" t="s">
        <v>281</v>
      </c>
      <c r="I36" s="5" t="s">
        <v>93</v>
      </c>
      <c r="J36" s="4" t="s">
        <v>282</v>
      </c>
      <c r="K36" s="4" t="s">
        <v>283</v>
      </c>
      <c r="L36" s="8" t="s">
        <v>284</v>
      </c>
      <c r="M36" s="5"/>
      <c r="N36" s="5" t="s">
        <v>47</v>
      </c>
      <c r="O36" s="4"/>
      <c r="P36" s="9"/>
      <c r="Q36" s="10"/>
    </row>
    <row r="37" spans="1:17" ht="75" x14ac:dyDescent="0.25">
      <c r="A37" s="5">
        <v>33</v>
      </c>
      <c r="B37" s="5" t="s">
        <v>285</v>
      </c>
      <c r="C37" s="13" t="s">
        <v>286</v>
      </c>
      <c r="D37" s="4" t="s">
        <v>287</v>
      </c>
      <c r="E37" s="4" t="s">
        <v>288</v>
      </c>
      <c r="F37" s="7" t="s">
        <v>289</v>
      </c>
      <c r="G37" s="4" t="s">
        <v>290</v>
      </c>
      <c r="H37" s="4" t="s">
        <v>291</v>
      </c>
      <c r="I37" s="5" t="s">
        <v>184</v>
      </c>
      <c r="J37" s="4" t="s">
        <v>292</v>
      </c>
      <c r="K37" s="4" t="s">
        <v>105</v>
      </c>
      <c r="L37" s="8" t="s">
        <v>62</v>
      </c>
      <c r="M37" s="5"/>
      <c r="N37" s="5" t="s">
        <v>47</v>
      </c>
      <c r="O37" s="4"/>
      <c r="P37" s="9"/>
      <c r="Q37" s="10"/>
    </row>
    <row r="38" spans="1:17" ht="60" x14ac:dyDescent="0.25">
      <c r="A38" s="5">
        <v>34</v>
      </c>
      <c r="B38" s="5" t="s">
        <v>293</v>
      </c>
      <c r="C38" s="13" t="s">
        <v>286</v>
      </c>
      <c r="D38" s="4" t="s">
        <v>294</v>
      </c>
      <c r="E38" s="4" t="s">
        <v>295</v>
      </c>
      <c r="F38" s="7" t="s">
        <v>296</v>
      </c>
      <c r="G38" s="4" t="s">
        <v>297</v>
      </c>
      <c r="H38" s="4" t="s">
        <v>298</v>
      </c>
      <c r="I38" s="5" t="s">
        <v>192</v>
      </c>
      <c r="J38" s="4" t="s">
        <v>292</v>
      </c>
      <c r="K38" s="4" t="s">
        <v>299</v>
      </c>
      <c r="L38" s="8" t="s">
        <v>300</v>
      </c>
      <c r="M38" s="5"/>
      <c r="N38" s="5" t="s">
        <v>47</v>
      </c>
      <c r="O38" s="4"/>
      <c r="P38" s="9"/>
      <c r="Q38" s="10"/>
    </row>
    <row r="39" spans="1:17" ht="105" x14ac:dyDescent="0.25">
      <c r="A39" s="5">
        <v>35</v>
      </c>
      <c r="B39" s="5" t="s">
        <v>301</v>
      </c>
      <c r="C39" s="13" t="s">
        <v>286</v>
      </c>
      <c r="D39" s="4" t="s">
        <v>294</v>
      </c>
      <c r="E39" s="4" t="s">
        <v>302</v>
      </c>
      <c r="F39" s="7" t="s">
        <v>303</v>
      </c>
      <c r="G39" s="4" t="s">
        <v>304</v>
      </c>
      <c r="H39" s="4" t="s">
        <v>305</v>
      </c>
      <c r="I39" s="5" t="s">
        <v>125</v>
      </c>
      <c r="J39" s="4" t="s">
        <v>292</v>
      </c>
      <c r="K39" s="4" t="s">
        <v>306</v>
      </c>
      <c r="L39" s="8" t="s">
        <v>307</v>
      </c>
      <c r="M39" s="5"/>
      <c r="N39" s="5" t="s">
        <v>47</v>
      </c>
      <c r="O39" s="4" t="s">
        <v>308</v>
      </c>
      <c r="P39" s="9"/>
      <c r="Q39" s="10"/>
    </row>
    <row r="40" spans="1:17" ht="90" x14ac:dyDescent="0.25">
      <c r="A40" s="5">
        <v>36</v>
      </c>
      <c r="B40" s="5" t="s">
        <v>309</v>
      </c>
      <c r="C40" s="13" t="s">
        <v>286</v>
      </c>
      <c r="D40" s="4" t="s">
        <v>310</v>
      </c>
      <c r="E40" s="4" t="s">
        <v>311</v>
      </c>
      <c r="F40" s="7" t="s">
        <v>312</v>
      </c>
      <c r="G40" s="4" t="s">
        <v>313</v>
      </c>
      <c r="H40" s="4" t="s">
        <v>314</v>
      </c>
      <c r="I40" s="5" t="s">
        <v>198</v>
      </c>
      <c r="J40" s="4" t="s">
        <v>315</v>
      </c>
      <c r="K40" s="4" t="s">
        <v>316</v>
      </c>
      <c r="L40" s="8" t="s">
        <v>317</v>
      </c>
      <c r="M40" s="5"/>
      <c r="N40" s="5" t="s">
        <v>47</v>
      </c>
      <c r="O40" s="4"/>
      <c r="P40" s="9"/>
      <c r="Q40" s="10"/>
    </row>
    <row r="41" spans="1:17" ht="60" x14ac:dyDescent="0.25">
      <c r="A41" s="5">
        <v>37</v>
      </c>
      <c r="B41" s="5" t="s">
        <v>318</v>
      </c>
      <c r="C41" s="13" t="s">
        <v>286</v>
      </c>
      <c r="D41" s="4" t="s">
        <v>319</v>
      </c>
      <c r="E41" s="4" t="s">
        <v>320</v>
      </c>
      <c r="F41" s="7" t="s">
        <v>321</v>
      </c>
      <c r="G41" s="4" t="s">
        <v>322</v>
      </c>
      <c r="H41" s="4" t="s">
        <v>323</v>
      </c>
      <c r="I41" s="5" t="s">
        <v>192</v>
      </c>
      <c r="J41" s="4" t="s">
        <v>135</v>
      </c>
      <c r="K41" s="4" t="s">
        <v>128</v>
      </c>
      <c r="L41" s="8" t="s">
        <v>136</v>
      </c>
      <c r="M41" s="11" t="s">
        <v>137</v>
      </c>
      <c r="N41" s="5" t="s">
        <v>47</v>
      </c>
      <c r="O41" s="4"/>
      <c r="P41" s="9"/>
      <c r="Q41" s="10"/>
    </row>
    <row r="42" spans="1:17" ht="60" x14ac:dyDescent="0.25">
      <c r="A42" s="5">
        <v>38</v>
      </c>
      <c r="B42" s="5" t="s">
        <v>324</v>
      </c>
      <c r="C42" s="13" t="s">
        <v>286</v>
      </c>
      <c r="D42" s="4" t="s">
        <v>325</v>
      </c>
      <c r="E42" s="4" t="s">
        <v>326</v>
      </c>
      <c r="F42" s="7" t="s">
        <v>327</v>
      </c>
      <c r="G42" s="4" t="s">
        <v>328</v>
      </c>
      <c r="H42" s="4" t="s">
        <v>329</v>
      </c>
      <c r="I42" s="5" t="s">
        <v>192</v>
      </c>
      <c r="J42" s="4" t="s">
        <v>330</v>
      </c>
      <c r="K42" s="4" t="s">
        <v>318</v>
      </c>
      <c r="L42" s="8" t="s">
        <v>136</v>
      </c>
      <c r="M42" s="5"/>
      <c r="N42" s="5" t="s">
        <v>47</v>
      </c>
      <c r="O42" s="4"/>
      <c r="P42" s="9"/>
      <c r="Q42" s="10"/>
    </row>
    <row r="43" spans="1:17" ht="75" x14ac:dyDescent="0.25">
      <c r="A43" s="5">
        <v>39</v>
      </c>
      <c r="B43" s="5" t="s">
        <v>331</v>
      </c>
      <c r="C43" s="13" t="s">
        <v>286</v>
      </c>
      <c r="D43" s="4" t="s">
        <v>332</v>
      </c>
      <c r="E43" s="4" t="s">
        <v>333</v>
      </c>
      <c r="F43" s="7" t="s">
        <v>334</v>
      </c>
      <c r="G43" s="4" t="s">
        <v>335</v>
      </c>
      <c r="H43" s="4" t="s">
        <v>336</v>
      </c>
      <c r="I43" s="5" t="s">
        <v>166</v>
      </c>
      <c r="J43" s="4" t="s">
        <v>292</v>
      </c>
      <c r="K43" s="4" t="s">
        <v>293</v>
      </c>
      <c r="L43" s="8" t="s">
        <v>337</v>
      </c>
      <c r="M43" s="5"/>
      <c r="N43" s="5" t="s">
        <v>47</v>
      </c>
      <c r="O43" s="4"/>
      <c r="P43" s="9"/>
      <c r="Q43" s="10"/>
    </row>
    <row r="44" spans="1:17" ht="105" x14ac:dyDescent="0.25">
      <c r="A44" s="5">
        <v>40</v>
      </c>
      <c r="B44" s="5" t="s">
        <v>338</v>
      </c>
      <c r="C44" s="13" t="s">
        <v>286</v>
      </c>
      <c r="D44" s="4" t="s">
        <v>332</v>
      </c>
      <c r="E44" s="4" t="s">
        <v>339</v>
      </c>
      <c r="F44" s="7" t="s">
        <v>340</v>
      </c>
      <c r="G44" s="4" t="s">
        <v>341</v>
      </c>
      <c r="H44" s="4" t="s">
        <v>342</v>
      </c>
      <c r="I44" s="5" t="s">
        <v>166</v>
      </c>
      <c r="J44" s="4" t="s">
        <v>292</v>
      </c>
      <c r="K44" s="4" t="s">
        <v>343</v>
      </c>
      <c r="L44" s="8" t="s">
        <v>344</v>
      </c>
      <c r="M44" s="5"/>
      <c r="N44" s="5" t="s">
        <v>47</v>
      </c>
      <c r="O44" s="4" t="s">
        <v>345</v>
      </c>
      <c r="P44" s="9"/>
      <c r="Q44" s="10"/>
    </row>
    <row r="45" spans="1:17" ht="90" x14ac:dyDescent="0.25">
      <c r="A45" s="5">
        <v>41</v>
      </c>
      <c r="B45" s="5" t="s">
        <v>346</v>
      </c>
      <c r="C45" s="13" t="s">
        <v>286</v>
      </c>
      <c r="D45" s="4" t="s">
        <v>332</v>
      </c>
      <c r="E45" s="4" t="s">
        <v>339</v>
      </c>
      <c r="F45" s="7" t="s">
        <v>347</v>
      </c>
      <c r="G45" s="4" t="s">
        <v>348</v>
      </c>
      <c r="H45" s="4" t="s">
        <v>349</v>
      </c>
      <c r="I45" s="5" t="s">
        <v>192</v>
      </c>
      <c r="J45" s="4" t="s">
        <v>241</v>
      </c>
      <c r="K45" s="4" t="s">
        <v>350</v>
      </c>
      <c r="L45" s="8" t="s">
        <v>351</v>
      </c>
      <c r="M45" s="5"/>
      <c r="N45" s="5" t="s">
        <v>47</v>
      </c>
      <c r="O45" s="4"/>
      <c r="P45" s="9"/>
      <c r="Q45" s="10"/>
    </row>
    <row r="46" spans="1:17" ht="75" x14ac:dyDescent="0.25">
      <c r="A46" s="5">
        <v>42</v>
      </c>
      <c r="B46" s="5" t="s">
        <v>276</v>
      </c>
      <c r="C46" s="13" t="s">
        <v>286</v>
      </c>
      <c r="D46" s="4" t="s">
        <v>352</v>
      </c>
      <c r="E46" s="4" t="s">
        <v>339</v>
      </c>
      <c r="F46" s="7" t="s">
        <v>353</v>
      </c>
      <c r="G46" s="4" t="s">
        <v>354</v>
      </c>
      <c r="H46" s="4" t="s">
        <v>355</v>
      </c>
      <c r="I46" s="5" t="s">
        <v>192</v>
      </c>
      <c r="J46" s="4" t="s">
        <v>356</v>
      </c>
      <c r="K46" s="4" t="s">
        <v>331</v>
      </c>
      <c r="L46" s="8" t="s">
        <v>357</v>
      </c>
      <c r="M46" s="11" t="s">
        <v>358</v>
      </c>
      <c r="N46" s="5" t="s">
        <v>47</v>
      </c>
      <c r="O46" s="4" t="s">
        <v>359</v>
      </c>
      <c r="P46" s="9"/>
      <c r="Q46" s="10"/>
    </row>
    <row r="47" spans="1:17" ht="90" x14ac:dyDescent="0.25">
      <c r="A47" s="5">
        <v>43</v>
      </c>
      <c r="B47" s="5" t="s">
        <v>360</v>
      </c>
      <c r="C47" s="13" t="s">
        <v>286</v>
      </c>
      <c r="D47" s="4" t="s">
        <v>361</v>
      </c>
      <c r="E47" s="4" t="s">
        <v>362</v>
      </c>
      <c r="F47" s="7" t="s">
        <v>363</v>
      </c>
      <c r="G47" s="4" t="s">
        <v>364</v>
      </c>
      <c r="H47" s="4" t="s">
        <v>365</v>
      </c>
      <c r="I47" s="5" t="s">
        <v>366</v>
      </c>
      <c r="J47" s="4" t="s">
        <v>241</v>
      </c>
      <c r="K47" s="4" t="s">
        <v>367</v>
      </c>
      <c r="L47" s="8" t="s">
        <v>368</v>
      </c>
      <c r="M47" s="5"/>
      <c r="N47" s="5" t="s">
        <v>87</v>
      </c>
      <c r="O47" s="4"/>
      <c r="P47" s="9"/>
      <c r="Q47" s="10"/>
    </row>
    <row r="48" spans="1:17" ht="45" x14ac:dyDescent="0.25">
      <c r="A48" s="5">
        <v>44</v>
      </c>
      <c r="B48" s="5" t="s">
        <v>369</v>
      </c>
      <c r="C48" s="13" t="s">
        <v>286</v>
      </c>
      <c r="D48" s="4" t="s">
        <v>370</v>
      </c>
      <c r="E48" s="4" t="s">
        <v>371</v>
      </c>
      <c r="F48" s="7" t="s">
        <v>372</v>
      </c>
      <c r="G48" s="4" t="s">
        <v>373</v>
      </c>
      <c r="H48" s="4" t="s">
        <v>374</v>
      </c>
      <c r="I48" s="5" t="s">
        <v>366</v>
      </c>
      <c r="J48" s="4" t="s">
        <v>375</v>
      </c>
      <c r="K48" s="4" t="s">
        <v>376</v>
      </c>
      <c r="L48" s="5"/>
      <c r="M48" s="5"/>
      <c r="N48" s="5" t="s">
        <v>87</v>
      </c>
      <c r="O48" s="4"/>
      <c r="P48" s="9"/>
      <c r="Q48" s="10"/>
    </row>
    <row r="49" spans="1:17" ht="45" x14ac:dyDescent="0.25">
      <c r="A49" s="5">
        <v>45</v>
      </c>
      <c r="B49" s="5" t="s">
        <v>299</v>
      </c>
      <c r="C49" s="13" t="s">
        <v>286</v>
      </c>
      <c r="D49" s="4" t="s">
        <v>377</v>
      </c>
      <c r="E49" s="4" t="s">
        <v>378</v>
      </c>
      <c r="F49" s="7" t="s">
        <v>379</v>
      </c>
      <c r="G49" s="4" t="s">
        <v>380</v>
      </c>
      <c r="H49" s="4" t="s">
        <v>381</v>
      </c>
      <c r="I49" s="5" t="s">
        <v>60</v>
      </c>
      <c r="J49" s="4" t="s">
        <v>382</v>
      </c>
      <c r="K49" s="4"/>
      <c r="L49" s="8" t="s">
        <v>300</v>
      </c>
      <c r="M49" s="5"/>
      <c r="N49" s="5" t="s">
        <v>47</v>
      </c>
      <c r="O49" s="4"/>
      <c r="P49" s="9"/>
      <c r="Q49" s="10"/>
    </row>
    <row r="50" spans="1:17" ht="45" x14ac:dyDescent="0.25">
      <c r="A50" s="5">
        <v>46</v>
      </c>
      <c r="B50" s="5" t="s">
        <v>383</v>
      </c>
      <c r="C50" s="13" t="s">
        <v>286</v>
      </c>
      <c r="D50" s="4" t="s">
        <v>384</v>
      </c>
      <c r="E50" s="4" t="s">
        <v>385</v>
      </c>
      <c r="F50" s="7" t="s">
        <v>386</v>
      </c>
      <c r="G50" s="4" t="s">
        <v>387</v>
      </c>
      <c r="H50" s="4" t="s">
        <v>388</v>
      </c>
      <c r="I50" s="5" t="s">
        <v>184</v>
      </c>
      <c r="J50" s="4" t="s">
        <v>375</v>
      </c>
      <c r="K50" s="4" t="s">
        <v>105</v>
      </c>
      <c r="L50" s="8" t="s">
        <v>62</v>
      </c>
      <c r="M50" s="5"/>
      <c r="N50" s="5" t="s">
        <v>47</v>
      </c>
      <c r="O50" s="4"/>
      <c r="P50" s="9"/>
      <c r="Q50" s="10"/>
    </row>
    <row r="51" spans="1:17" ht="90" x14ac:dyDescent="0.25">
      <c r="A51" s="5">
        <v>47</v>
      </c>
      <c r="B51" s="5" t="s">
        <v>376</v>
      </c>
      <c r="C51" s="13" t="s">
        <v>286</v>
      </c>
      <c r="D51" s="4" t="s">
        <v>389</v>
      </c>
      <c r="E51" s="4" t="s">
        <v>390</v>
      </c>
      <c r="F51" s="7" t="s">
        <v>391</v>
      </c>
      <c r="G51" s="4" t="s">
        <v>392</v>
      </c>
      <c r="H51" s="4" t="s">
        <v>393</v>
      </c>
      <c r="I51" s="5" t="s">
        <v>192</v>
      </c>
      <c r="J51" s="4" t="s">
        <v>375</v>
      </c>
      <c r="K51" s="4" t="s">
        <v>394</v>
      </c>
      <c r="L51" s="8" t="s">
        <v>284</v>
      </c>
      <c r="M51" s="5"/>
      <c r="N51" s="5" t="s">
        <v>47</v>
      </c>
      <c r="O51" s="4"/>
      <c r="P51" s="9"/>
      <c r="Q51" s="10"/>
    </row>
    <row r="52" spans="1:17" ht="90" x14ac:dyDescent="0.25">
      <c r="A52" s="5">
        <v>48</v>
      </c>
      <c r="B52" s="5" t="s">
        <v>395</v>
      </c>
      <c r="C52" s="13" t="s">
        <v>286</v>
      </c>
      <c r="D52" s="4" t="s">
        <v>389</v>
      </c>
      <c r="E52" s="4" t="s">
        <v>396</v>
      </c>
      <c r="F52" s="7" t="s">
        <v>397</v>
      </c>
      <c r="G52" s="4" t="s">
        <v>398</v>
      </c>
      <c r="H52" s="4" t="s">
        <v>399</v>
      </c>
      <c r="I52" s="5" t="s">
        <v>125</v>
      </c>
      <c r="J52" s="4" t="s">
        <v>375</v>
      </c>
      <c r="K52" s="4" t="s">
        <v>400</v>
      </c>
      <c r="L52" s="8" t="s">
        <v>401</v>
      </c>
      <c r="M52" s="5"/>
      <c r="N52" s="5" t="s">
        <v>47</v>
      </c>
      <c r="O52" s="4"/>
      <c r="P52" s="9"/>
      <c r="Q52" s="10"/>
    </row>
    <row r="53" spans="1:17" ht="30" x14ac:dyDescent="0.25">
      <c r="A53" s="5">
        <v>49</v>
      </c>
      <c r="B53" s="5" t="s">
        <v>402</v>
      </c>
      <c r="C53" s="13" t="s">
        <v>286</v>
      </c>
      <c r="D53" s="4" t="s">
        <v>403</v>
      </c>
      <c r="E53" s="4" t="s">
        <v>404</v>
      </c>
      <c r="F53" s="7" t="s">
        <v>405</v>
      </c>
      <c r="G53" s="4" t="s">
        <v>406</v>
      </c>
      <c r="H53" s="4" t="s">
        <v>407</v>
      </c>
      <c r="I53" s="5" t="s">
        <v>192</v>
      </c>
      <c r="J53" s="4" t="s">
        <v>408</v>
      </c>
      <c r="K53" s="4" t="s">
        <v>128</v>
      </c>
      <c r="L53" s="8" t="s">
        <v>136</v>
      </c>
      <c r="M53" s="11" t="s">
        <v>137</v>
      </c>
      <c r="N53" s="5" t="s">
        <v>47</v>
      </c>
      <c r="O53" s="4"/>
      <c r="P53" s="9"/>
      <c r="Q53" s="10"/>
    </row>
    <row r="54" spans="1:17" ht="75" x14ac:dyDescent="0.25">
      <c r="A54" s="5">
        <v>50</v>
      </c>
      <c r="B54" s="5" t="s">
        <v>409</v>
      </c>
      <c r="C54" s="13" t="s">
        <v>286</v>
      </c>
      <c r="D54" s="4" t="s">
        <v>410</v>
      </c>
      <c r="E54" s="4" t="s">
        <v>411</v>
      </c>
      <c r="F54" s="7" t="s">
        <v>412</v>
      </c>
      <c r="G54" s="4" t="s">
        <v>413</v>
      </c>
      <c r="H54" s="4" t="s">
        <v>414</v>
      </c>
      <c r="I54" s="5" t="s">
        <v>192</v>
      </c>
      <c r="J54" s="4" t="s">
        <v>415</v>
      </c>
      <c r="K54" s="4" t="s">
        <v>416</v>
      </c>
      <c r="L54" s="5"/>
      <c r="M54" s="11" t="s">
        <v>417</v>
      </c>
      <c r="N54" s="5" t="s">
        <v>47</v>
      </c>
      <c r="O54" s="4" t="s">
        <v>418</v>
      </c>
      <c r="P54" s="9"/>
      <c r="Q54" s="10"/>
    </row>
    <row r="55" spans="1:17" ht="75" x14ac:dyDescent="0.25">
      <c r="A55" s="5">
        <v>51</v>
      </c>
      <c r="B55" s="5" t="s">
        <v>419</v>
      </c>
      <c r="C55" s="13" t="s">
        <v>286</v>
      </c>
      <c r="D55" s="4" t="s">
        <v>420</v>
      </c>
      <c r="E55" s="4" t="s">
        <v>421</v>
      </c>
      <c r="F55" s="7" t="s">
        <v>422</v>
      </c>
      <c r="G55" s="4" t="s">
        <v>423</v>
      </c>
      <c r="H55" s="4" t="s">
        <v>424</v>
      </c>
      <c r="I55" s="5" t="s">
        <v>198</v>
      </c>
      <c r="J55" s="4" t="s">
        <v>425</v>
      </c>
      <c r="K55" s="4" t="s">
        <v>426</v>
      </c>
      <c r="L55" s="8" t="s">
        <v>427</v>
      </c>
      <c r="M55" s="5"/>
      <c r="N55" s="5" t="s">
        <v>47</v>
      </c>
      <c r="O55" s="4"/>
      <c r="P55" s="9"/>
      <c r="Q55" s="10"/>
    </row>
    <row r="56" spans="1:17" ht="45" x14ac:dyDescent="0.25">
      <c r="A56" s="5">
        <v>52</v>
      </c>
      <c r="B56" s="5" t="s">
        <v>428</v>
      </c>
      <c r="C56" s="13" t="s">
        <v>286</v>
      </c>
      <c r="D56" s="4" t="s">
        <v>429</v>
      </c>
      <c r="E56" s="4" t="s">
        <v>430</v>
      </c>
      <c r="F56" s="7" t="s">
        <v>431</v>
      </c>
      <c r="G56" s="4" t="s">
        <v>432</v>
      </c>
      <c r="H56" s="4" t="s">
        <v>433</v>
      </c>
      <c r="I56" s="5" t="s">
        <v>166</v>
      </c>
      <c r="J56" s="4" t="s">
        <v>375</v>
      </c>
      <c r="K56" s="4" t="s">
        <v>409</v>
      </c>
      <c r="L56" s="5"/>
      <c r="M56" s="5"/>
      <c r="N56" s="5" t="s">
        <v>47</v>
      </c>
      <c r="O56" s="4"/>
      <c r="P56" s="9"/>
      <c r="Q56" s="10"/>
    </row>
    <row r="57" spans="1:17" ht="75" x14ac:dyDescent="0.25">
      <c r="A57" s="5">
        <v>53</v>
      </c>
      <c r="B57" s="5" t="s">
        <v>283</v>
      </c>
      <c r="C57" s="13" t="s">
        <v>286</v>
      </c>
      <c r="D57" s="4" t="s">
        <v>429</v>
      </c>
      <c r="E57" s="4" t="s">
        <v>434</v>
      </c>
      <c r="F57" s="7" t="s">
        <v>435</v>
      </c>
      <c r="G57" s="4" t="s">
        <v>436</v>
      </c>
      <c r="H57" s="4" t="s">
        <v>437</v>
      </c>
      <c r="I57" s="5" t="s">
        <v>192</v>
      </c>
      <c r="J57" s="4" t="s">
        <v>438</v>
      </c>
      <c r="K57" s="4" t="s">
        <v>439</v>
      </c>
      <c r="L57" s="8" t="s">
        <v>440</v>
      </c>
      <c r="M57" s="11" t="s">
        <v>358</v>
      </c>
      <c r="N57" s="5" t="s">
        <v>47</v>
      </c>
      <c r="O57" s="4"/>
      <c r="P57" s="9"/>
      <c r="Q57" s="10"/>
    </row>
    <row r="58" spans="1:17" ht="60" x14ac:dyDescent="0.25">
      <c r="A58" s="5">
        <v>54</v>
      </c>
      <c r="B58" s="5" t="s">
        <v>441</v>
      </c>
      <c r="C58" s="13" t="s">
        <v>286</v>
      </c>
      <c r="D58" s="4" t="s">
        <v>429</v>
      </c>
      <c r="E58" s="4" t="s">
        <v>434</v>
      </c>
      <c r="F58" s="7" t="s">
        <v>442</v>
      </c>
      <c r="G58" s="4" t="s">
        <v>443</v>
      </c>
      <c r="H58" s="4" t="s">
        <v>444</v>
      </c>
      <c r="I58" s="5" t="s">
        <v>192</v>
      </c>
      <c r="J58" s="4" t="s">
        <v>375</v>
      </c>
      <c r="K58" s="4" t="s">
        <v>402</v>
      </c>
      <c r="L58" s="5"/>
      <c r="M58" s="5"/>
      <c r="N58" s="5" t="s">
        <v>87</v>
      </c>
      <c r="O58" s="4"/>
      <c r="P58" s="9"/>
      <c r="Q58" s="10"/>
    </row>
    <row r="59" spans="1:17" ht="30" x14ac:dyDescent="0.25">
      <c r="A59" s="5">
        <v>55</v>
      </c>
      <c r="B59" s="5" t="s">
        <v>445</v>
      </c>
      <c r="C59" s="13" t="s">
        <v>286</v>
      </c>
      <c r="D59" s="4" t="s">
        <v>446</v>
      </c>
      <c r="E59" s="4" t="s">
        <v>447</v>
      </c>
      <c r="F59" s="7" t="s">
        <v>448</v>
      </c>
      <c r="G59" s="4" t="s">
        <v>449</v>
      </c>
      <c r="H59" s="4" t="s">
        <v>450</v>
      </c>
      <c r="I59" s="5" t="s">
        <v>60</v>
      </c>
      <c r="J59" s="4" t="s">
        <v>451</v>
      </c>
      <c r="K59" s="4"/>
      <c r="L59" s="8" t="s">
        <v>300</v>
      </c>
      <c r="M59" s="5"/>
      <c r="N59" s="5" t="s">
        <v>47</v>
      </c>
      <c r="O59" s="4"/>
      <c r="P59" s="9"/>
      <c r="Q59" s="10"/>
    </row>
    <row r="60" spans="1:17" ht="75" x14ac:dyDescent="0.25">
      <c r="A60" s="5">
        <v>56</v>
      </c>
      <c r="B60" s="5" t="s">
        <v>452</v>
      </c>
      <c r="C60" s="14" t="s">
        <v>453</v>
      </c>
      <c r="D60" s="4" t="s">
        <v>454</v>
      </c>
      <c r="E60" s="4" t="s">
        <v>455</v>
      </c>
      <c r="F60" s="7" t="s">
        <v>456</v>
      </c>
      <c r="G60" s="4" t="s">
        <v>457</v>
      </c>
      <c r="H60" s="4" t="s">
        <v>458</v>
      </c>
      <c r="I60" s="5" t="s">
        <v>60</v>
      </c>
      <c r="J60" s="4" t="s">
        <v>459</v>
      </c>
      <c r="K60" s="4"/>
      <c r="L60" s="8" t="s">
        <v>460</v>
      </c>
      <c r="M60" s="5"/>
      <c r="N60" s="5" t="s">
        <v>47</v>
      </c>
      <c r="O60" s="4"/>
      <c r="P60" s="9"/>
      <c r="Q60" s="10"/>
    </row>
    <row r="61" spans="1:17" ht="75" x14ac:dyDescent="0.25">
      <c r="A61" s="5">
        <v>57</v>
      </c>
      <c r="B61" s="5" t="s">
        <v>416</v>
      </c>
      <c r="C61" s="14" t="s">
        <v>453</v>
      </c>
      <c r="D61" s="4" t="s">
        <v>461</v>
      </c>
      <c r="E61" s="4" t="s">
        <v>462</v>
      </c>
      <c r="F61" s="7" t="s">
        <v>463</v>
      </c>
      <c r="G61" s="4" t="s">
        <v>464</v>
      </c>
      <c r="H61" s="4" t="s">
        <v>465</v>
      </c>
      <c r="I61" s="5" t="s">
        <v>60</v>
      </c>
      <c r="J61" s="4" t="s">
        <v>466</v>
      </c>
      <c r="K61" s="4"/>
      <c r="L61" s="5"/>
      <c r="M61" s="11" t="s">
        <v>417</v>
      </c>
      <c r="N61" s="5" t="s">
        <v>47</v>
      </c>
      <c r="O61" s="4"/>
      <c r="P61" s="9"/>
      <c r="Q61" s="10"/>
    </row>
    <row r="62" spans="1:17" ht="75" x14ac:dyDescent="0.25">
      <c r="A62" s="5">
        <v>58</v>
      </c>
      <c r="B62" s="5" t="s">
        <v>467</v>
      </c>
      <c r="C62" s="14" t="s">
        <v>453</v>
      </c>
      <c r="D62" s="4" t="s">
        <v>468</v>
      </c>
      <c r="E62" s="4" t="s">
        <v>469</v>
      </c>
      <c r="F62" s="7" t="s">
        <v>470</v>
      </c>
      <c r="G62" s="4" t="s">
        <v>471</v>
      </c>
      <c r="H62" s="4" t="s">
        <v>472</v>
      </c>
      <c r="I62" s="5" t="s">
        <v>184</v>
      </c>
      <c r="J62" s="4" t="s">
        <v>473</v>
      </c>
      <c r="K62" s="4" t="s">
        <v>474</v>
      </c>
      <c r="L62" s="8" t="s">
        <v>200</v>
      </c>
      <c r="M62" s="5"/>
      <c r="N62" s="5" t="s">
        <v>47</v>
      </c>
      <c r="O62" s="4"/>
      <c r="P62" s="9"/>
      <c r="Q62" s="10"/>
    </row>
    <row r="63" spans="1:17" ht="45" x14ac:dyDescent="0.25">
      <c r="A63" s="5">
        <v>59</v>
      </c>
      <c r="B63" s="5" t="s">
        <v>475</v>
      </c>
      <c r="C63" s="14" t="s">
        <v>453</v>
      </c>
      <c r="D63" s="4" t="s">
        <v>476</v>
      </c>
      <c r="E63" s="4" t="s">
        <v>114</v>
      </c>
      <c r="F63" s="7" t="s">
        <v>477</v>
      </c>
      <c r="G63" s="4" t="s">
        <v>478</v>
      </c>
      <c r="H63" s="4" t="s">
        <v>479</v>
      </c>
      <c r="I63" s="5" t="s">
        <v>198</v>
      </c>
      <c r="J63" s="4" t="s">
        <v>480</v>
      </c>
      <c r="K63" s="4" t="s">
        <v>419</v>
      </c>
      <c r="L63" s="8" t="s">
        <v>481</v>
      </c>
      <c r="M63" s="5"/>
      <c r="N63" s="5" t="s">
        <v>47</v>
      </c>
      <c r="O63" s="4"/>
      <c r="P63" s="9"/>
      <c r="Q63" s="10"/>
    </row>
    <row r="64" spans="1:17" ht="45" x14ac:dyDescent="0.25">
      <c r="A64" s="5">
        <v>60</v>
      </c>
      <c r="B64" s="5" t="s">
        <v>482</v>
      </c>
      <c r="C64" s="14" t="s">
        <v>453</v>
      </c>
      <c r="D64" s="4" t="s">
        <v>483</v>
      </c>
      <c r="E64" s="4" t="s">
        <v>114</v>
      </c>
      <c r="F64" s="7" t="s">
        <v>484</v>
      </c>
      <c r="G64" s="4" t="s">
        <v>485</v>
      </c>
      <c r="H64" s="4" t="s">
        <v>486</v>
      </c>
      <c r="I64" s="5" t="s">
        <v>198</v>
      </c>
      <c r="J64" s="4" t="s">
        <v>480</v>
      </c>
      <c r="K64" s="4" t="s">
        <v>309</v>
      </c>
      <c r="L64" s="8" t="s">
        <v>487</v>
      </c>
      <c r="M64" s="5"/>
      <c r="N64" s="5" t="s">
        <v>47</v>
      </c>
      <c r="O64" s="4"/>
      <c r="P64" s="9"/>
      <c r="Q64" s="10"/>
    </row>
    <row r="65" spans="1:17" ht="45" x14ac:dyDescent="0.25">
      <c r="A65" s="5">
        <v>61</v>
      </c>
      <c r="B65" s="5" t="s">
        <v>488</v>
      </c>
      <c r="C65" s="14" t="s">
        <v>453</v>
      </c>
      <c r="D65" s="4" t="s">
        <v>489</v>
      </c>
      <c r="E65" s="4" t="s">
        <v>490</v>
      </c>
      <c r="F65" s="7" t="s">
        <v>491</v>
      </c>
      <c r="G65" s="4" t="s">
        <v>492</v>
      </c>
      <c r="H65" s="4" t="s">
        <v>493</v>
      </c>
      <c r="I65" s="5" t="s">
        <v>192</v>
      </c>
      <c r="J65" s="4" t="s">
        <v>480</v>
      </c>
      <c r="K65" s="4" t="s">
        <v>494</v>
      </c>
      <c r="L65" s="8" t="s">
        <v>495</v>
      </c>
      <c r="M65" s="5"/>
      <c r="N65" s="5" t="s">
        <v>87</v>
      </c>
      <c r="O65" s="4" t="s">
        <v>496</v>
      </c>
      <c r="P65" s="9"/>
      <c r="Q65" s="10"/>
    </row>
    <row r="66" spans="1:17" ht="45" x14ac:dyDescent="0.25">
      <c r="A66" s="5">
        <v>62</v>
      </c>
      <c r="B66" s="5" t="s">
        <v>497</v>
      </c>
      <c r="C66" s="14" t="s">
        <v>453</v>
      </c>
      <c r="D66" s="4" t="s">
        <v>498</v>
      </c>
      <c r="E66" s="4" t="s">
        <v>499</v>
      </c>
      <c r="F66" s="7" t="s">
        <v>500</v>
      </c>
      <c r="G66" s="4" t="s">
        <v>501</v>
      </c>
      <c r="H66" s="4" t="s">
        <v>502</v>
      </c>
      <c r="I66" s="5" t="s">
        <v>503</v>
      </c>
      <c r="J66" s="4" t="s">
        <v>473</v>
      </c>
      <c r="K66" s="4" t="s">
        <v>452</v>
      </c>
      <c r="L66" s="8" t="s">
        <v>460</v>
      </c>
      <c r="M66" s="5"/>
      <c r="N66" s="5" t="s">
        <v>47</v>
      </c>
      <c r="O66" s="4"/>
      <c r="P66" s="9"/>
      <c r="Q66" s="10"/>
    </row>
    <row r="67" spans="1:17" ht="30" x14ac:dyDescent="0.25">
      <c r="A67" s="5">
        <v>63</v>
      </c>
      <c r="B67" s="5" t="s">
        <v>504</v>
      </c>
      <c r="C67" s="14" t="s">
        <v>453</v>
      </c>
      <c r="D67" s="4" t="s">
        <v>120</v>
      </c>
      <c r="E67" s="4" t="s">
        <v>499</v>
      </c>
      <c r="F67" s="7" t="s">
        <v>505</v>
      </c>
      <c r="G67" s="4" t="s">
        <v>506</v>
      </c>
      <c r="H67" s="4" t="s">
        <v>507</v>
      </c>
      <c r="I67" s="5" t="s">
        <v>125</v>
      </c>
      <c r="J67" s="4" t="s">
        <v>508</v>
      </c>
      <c r="K67" s="4" t="s">
        <v>119</v>
      </c>
      <c r="L67" s="8" t="s">
        <v>495</v>
      </c>
      <c r="M67" s="5"/>
      <c r="N67" s="5" t="s">
        <v>87</v>
      </c>
      <c r="O67" s="4"/>
      <c r="P67" s="9"/>
      <c r="Q67" s="10"/>
    </row>
    <row r="68" spans="1:17" ht="60" x14ac:dyDescent="0.25">
      <c r="A68" s="5">
        <v>64</v>
      </c>
      <c r="B68" s="5" t="s">
        <v>509</v>
      </c>
      <c r="C68" s="14" t="s">
        <v>453</v>
      </c>
      <c r="D68" s="4" t="s">
        <v>510</v>
      </c>
      <c r="E68" s="4" t="s">
        <v>511</v>
      </c>
      <c r="F68" s="7" t="s">
        <v>512</v>
      </c>
      <c r="G68" s="4" t="s">
        <v>513</v>
      </c>
      <c r="H68" s="4" t="s">
        <v>514</v>
      </c>
      <c r="I68" s="5" t="s">
        <v>93</v>
      </c>
      <c r="J68" s="4" t="s">
        <v>480</v>
      </c>
      <c r="K68" s="4" t="s">
        <v>515</v>
      </c>
      <c r="L68" s="5"/>
      <c r="M68" s="5"/>
      <c r="N68" s="5" t="s">
        <v>47</v>
      </c>
      <c r="O68" s="4"/>
      <c r="P68" s="9"/>
      <c r="Q68" s="10"/>
    </row>
    <row r="69" spans="1:17" ht="90" x14ac:dyDescent="0.25">
      <c r="A69" s="5">
        <v>65</v>
      </c>
      <c r="B69" s="5" t="s">
        <v>516</v>
      </c>
      <c r="C69" s="14" t="s">
        <v>453</v>
      </c>
      <c r="D69" s="4" t="s">
        <v>517</v>
      </c>
      <c r="E69" s="4" t="s">
        <v>518</v>
      </c>
      <c r="F69" s="7" t="s">
        <v>519</v>
      </c>
      <c r="G69" s="4" t="s">
        <v>520</v>
      </c>
      <c r="H69" s="4" t="s">
        <v>521</v>
      </c>
      <c r="I69" s="5" t="s">
        <v>166</v>
      </c>
      <c r="J69" s="4" t="s">
        <v>522</v>
      </c>
      <c r="K69" s="4" t="s">
        <v>523</v>
      </c>
      <c r="L69" s="8" t="s">
        <v>524</v>
      </c>
      <c r="M69" s="5"/>
      <c r="N69" s="5" t="s">
        <v>87</v>
      </c>
      <c r="O69" s="4" t="s">
        <v>525</v>
      </c>
      <c r="P69" s="9"/>
      <c r="Q69" s="10"/>
    </row>
    <row r="70" spans="1:17" ht="75" x14ac:dyDescent="0.25">
      <c r="A70" s="5">
        <v>66</v>
      </c>
      <c r="B70" s="5" t="s">
        <v>526</v>
      </c>
      <c r="C70" s="15" t="s">
        <v>527</v>
      </c>
      <c r="D70" s="4" t="s">
        <v>528</v>
      </c>
      <c r="E70" s="4" t="s">
        <v>529</v>
      </c>
      <c r="F70" s="7" t="s">
        <v>530</v>
      </c>
      <c r="G70" s="4" t="s">
        <v>531</v>
      </c>
      <c r="H70" s="4" t="s">
        <v>532</v>
      </c>
      <c r="I70" s="5" t="s">
        <v>184</v>
      </c>
      <c r="J70" s="4" t="s">
        <v>533</v>
      </c>
      <c r="K70" s="4" t="s">
        <v>105</v>
      </c>
      <c r="L70" s="5"/>
      <c r="M70" s="5"/>
      <c r="N70" s="5" t="s">
        <v>47</v>
      </c>
      <c r="O70" s="4" t="s">
        <v>534</v>
      </c>
      <c r="P70" s="9"/>
      <c r="Q70" s="10"/>
    </row>
    <row r="71" spans="1:17" ht="60" x14ac:dyDescent="0.25">
      <c r="A71" s="5">
        <v>67</v>
      </c>
      <c r="B71" s="5" t="s">
        <v>535</v>
      </c>
      <c r="C71" s="15" t="s">
        <v>527</v>
      </c>
      <c r="D71" s="4" t="s">
        <v>536</v>
      </c>
      <c r="E71" s="4" t="s">
        <v>537</v>
      </c>
      <c r="F71" s="7" t="s">
        <v>538</v>
      </c>
      <c r="G71" s="4" t="s">
        <v>539</v>
      </c>
      <c r="H71" s="4" t="s">
        <v>540</v>
      </c>
      <c r="I71" s="5" t="s">
        <v>192</v>
      </c>
      <c r="J71" s="4" t="s">
        <v>541</v>
      </c>
      <c r="K71" s="4" t="s">
        <v>542</v>
      </c>
      <c r="L71" s="5"/>
      <c r="M71" s="11" t="s">
        <v>137</v>
      </c>
      <c r="N71" s="5" t="s">
        <v>47</v>
      </c>
      <c r="O71" s="4"/>
      <c r="P71" s="9"/>
      <c r="Q71" s="10"/>
    </row>
    <row r="72" spans="1:17" ht="45" x14ac:dyDescent="0.25">
      <c r="A72" s="5">
        <v>68</v>
      </c>
      <c r="B72" s="5" t="s">
        <v>543</v>
      </c>
      <c r="C72" s="15" t="s">
        <v>527</v>
      </c>
      <c r="D72" s="4" t="s">
        <v>544</v>
      </c>
      <c r="E72" s="4" t="s">
        <v>545</v>
      </c>
      <c r="F72" s="7" t="s">
        <v>546</v>
      </c>
      <c r="G72" s="4" t="s">
        <v>547</v>
      </c>
      <c r="H72" s="4" t="s">
        <v>548</v>
      </c>
      <c r="I72" s="5" t="s">
        <v>125</v>
      </c>
      <c r="J72" s="4" t="s">
        <v>533</v>
      </c>
      <c r="K72" s="4" t="s">
        <v>535</v>
      </c>
      <c r="L72" s="8" t="s">
        <v>549</v>
      </c>
      <c r="M72" s="5"/>
      <c r="N72" s="5" t="s">
        <v>87</v>
      </c>
      <c r="O72" s="4"/>
      <c r="P72" s="9"/>
      <c r="Q72" s="10"/>
    </row>
    <row r="73" spans="1:17" ht="45" x14ac:dyDescent="0.25">
      <c r="A73" s="5">
        <v>69</v>
      </c>
      <c r="B73" s="5" t="s">
        <v>550</v>
      </c>
      <c r="C73" s="15" t="s">
        <v>527</v>
      </c>
      <c r="D73" s="4" t="s">
        <v>551</v>
      </c>
      <c r="E73" s="4" t="s">
        <v>552</v>
      </c>
      <c r="F73" s="7" t="s">
        <v>553</v>
      </c>
      <c r="G73" s="4" t="s">
        <v>554</v>
      </c>
      <c r="H73" s="4" t="s">
        <v>555</v>
      </c>
      <c r="I73" s="5" t="s">
        <v>192</v>
      </c>
      <c r="J73" s="4" t="s">
        <v>556</v>
      </c>
      <c r="K73" s="4" t="s">
        <v>535</v>
      </c>
      <c r="L73" s="5"/>
      <c r="M73" s="5"/>
      <c r="N73" s="5" t="s">
        <v>47</v>
      </c>
      <c r="O73" s="4"/>
      <c r="P73" s="9"/>
      <c r="Q73" s="10"/>
    </row>
    <row r="74" spans="1:17" ht="105" x14ac:dyDescent="0.25">
      <c r="A74" s="5">
        <v>70</v>
      </c>
      <c r="B74" s="5" t="s">
        <v>557</v>
      </c>
      <c r="C74" s="15" t="s">
        <v>527</v>
      </c>
      <c r="D74" s="4" t="s">
        <v>558</v>
      </c>
      <c r="E74" s="4" t="s">
        <v>559</v>
      </c>
      <c r="F74" s="7" t="s">
        <v>560</v>
      </c>
      <c r="G74" s="4" t="s">
        <v>561</v>
      </c>
      <c r="H74" s="4" t="s">
        <v>562</v>
      </c>
      <c r="I74" s="5" t="s">
        <v>192</v>
      </c>
      <c r="J74" s="4" t="s">
        <v>563</v>
      </c>
      <c r="K74" s="4" t="s">
        <v>564</v>
      </c>
      <c r="L74" s="8" t="s">
        <v>284</v>
      </c>
      <c r="M74" s="5"/>
      <c r="N74" s="5" t="s">
        <v>47</v>
      </c>
      <c r="O74" s="4"/>
      <c r="P74" s="9"/>
      <c r="Q74" s="10"/>
    </row>
    <row r="75" spans="1:17" ht="165" x14ac:dyDescent="0.25">
      <c r="A75" s="5">
        <v>71</v>
      </c>
      <c r="B75" s="5" t="s">
        <v>565</v>
      </c>
      <c r="C75" s="15" t="s">
        <v>527</v>
      </c>
      <c r="D75" s="4" t="s">
        <v>566</v>
      </c>
      <c r="E75" s="4" t="s">
        <v>567</v>
      </c>
      <c r="F75" s="7" t="s">
        <v>568</v>
      </c>
      <c r="G75" s="4" t="s">
        <v>569</v>
      </c>
      <c r="H75" s="4" t="s">
        <v>570</v>
      </c>
      <c r="I75" s="5" t="s">
        <v>166</v>
      </c>
      <c r="J75" s="4" t="s">
        <v>533</v>
      </c>
      <c r="K75" s="4" t="s">
        <v>571</v>
      </c>
      <c r="L75" s="8" t="s">
        <v>572</v>
      </c>
      <c r="M75" s="11" t="s">
        <v>573</v>
      </c>
      <c r="N75" s="5" t="s">
        <v>47</v>
      </c>
      <c r="O75" s="4" t="s">
        <v>574</v>
      </c>
      <c r="P75" s="9"/>
      <c r="Q75" s="10"/>
    </row>
    <row r="76" spans="1:17" ht="30" x14ac:dyDescent="0.25">
      <c r="A76" s="5">
        <v>72</v>
      </c>
      <c r="B76" s="5" t="s">
        <v>575</v>
      </c>
      <c r="C76" s="15" t="s">
        <v>527</v>
      </c>
      <c r="D76" s="4" t="s">
        <v>576</v>
      </c>
      <c r="E76" s="4" t="s">
        <v>577</v>
      </c>
      <c r="F76" s="7" t="s">
        <v>578</v>
      </c>
      <c r="G76" s="4" t="s">
        <v>579</v>
      </c>
      <c r="H76" s="4" t="s">
        <v>580</v>
      </c>
      <c r="I76" s="5" t="s">
        <v>192</v>
      </c>
      <c r="J76" s="4" t="s">
        <v>533</v>
      </c>
      <c r="K76" s="4" t="s">
        <v>565</v>
      </c>
      <c r="L76" s="8" t="s">
        <v>581</v>
      </c>
      <c r="M76" s="5"/>
      <c r="N76" s="5" t="s">
        <v>47</v>
      </c>
      <c r="O76" s="4"/>
      <c r="P76" s="9"/>
      <c r="Q76" s="10"/>
    </row>
    <row r="77" spans="1:17" ht="60" x14ac:dyDescent="0.25">
      <c r="A77" s="5">
        <v>73</v>
      </c>
      <c r="B77" s="5" t="s">
        <v>582</v>
      </c>
      <c r="C77" s="15" t="s">
        <v>527</v>
      </c>
      <c r="D77" s="4" t="s">
        <v>583</v>
      </c>
      <c r="E77" s="4" t="s">
        <v>584</v>
      </c>
      <c r="F77" s="7" t="s">
        <v>585</v>
      </c>
      <c r="G77" s="4" t="s">
        <v>586</v>
      </c>
      <c r="H77" s="4" t="s">
        <v>587</v>
      </c>
      <c r="I77" s="5" t="s">
        <v>192</v>
      </c>
      <c r="J77" s="4" t="s">
        <v>588</v>
      </c>
      <c r="K77" s="4" t="s">
        <v>557</v>
      </c>
      <c r="L77" s="8" t="s">
        <v>589</v>
      </c>
      <c r="M77" s="5"/>
      <c r="N77" s="5" t="s">
        <v>87</v>
      </c>
      <c r="O77" s="4" t="s">
        <v>590</v>
      </c>
      <c r="P77" s="9"/>
      <c r="Q77" s="10"/>
    </row>
    <row r="78" spans="1:17" ht="60" x14ac:dyDescent="0.25">
      <c r="A78" s="5">
        <v>74</v>
      </c>
      <c r="B78" s="5" t="s">
        <v>591</v>
      </c>
      <c r="C78" s="15" t="s">
        <v>527</v>
      </c>
      <c r="D78" s="4" t="s">
        <v>592</v>
      </c>
      <c r="E78" s="4" t="s">
        <v>593</v>
      </c>
      <c r="F78" s="7" t="s">
        <v>594</v>
      </c>
      <c r="G78" s="4" t="s">
        <v>595</v>
      </c>
      <c r="H78" s="4" t="s">
        <v>596</v>
      </c>
      <c r="I78" s="5" t="s">
        <v>192</v>
      </c>
      <c r="J78" s="4" t="s">
        <v>597</v>
      </c>
      <c r="K78" s="4" t="s">
        <v>582</v>
      </c>
      <c r="L78" s="8" t="s">
        <v>589</v>
      </c>
      <c r="M78" s="11" t="s">
        <v>598</v>
      </c>
      <c r="N78" s="5" t="s">
        <v>87</v>
      </c>
      <c r="O78" s="4" t="s">
        <v>599</v>
      </c>
      <c r="P78" s="9"/>
      <c r="Q78" s="10"/>
    </row>
    <row r="79" spans="1:17" ht="30" x14ac:dyDescent="0.25">
      <c r="A79" s="5">
        <v>75</v>
      </c>
      <c r="B79" s="5" t="s">
        <v>600</v>
      </c>
      <c r="C79" s="15" t="s">
        <v>527</v>
      </c>
      <c r="D79" s="4" t="s">
        <v>592</v>
      </c>
      <c r="E79" s="4" t="s">
        <v>593</v>
      </c>
      <c r="F79" s="7" t="s">
        <v>601</v>
      </c>
      <c r="G79" s="4" t="s">
        <v>602</v>
      </c>
      <c r="H79" s="4" t="s">
        <v>603</v>
      </c>
      <c r="I79" s="5" t="s">
        <v>166</v>
      </c>
      <c r="J79" s="4" t="s">
        <v>597</v>
      </c>
      <c r="K79" s="4" t="s">
        <v>591</v>
      </c>
      <c r="L79" s="5"/>
      <c r="M79" s="11" t="s">
        <v>598</v>
      </c>
      <c r="N79" s="5" t="s">
        <v>87</v>
      </c>
      <c r="O79" s="4"/>
      <c r="P79" s="9"/>
      <c r="Q79" s="10"/>
    </row>
    <row r="80" spans="1:17" ht="60" x14ac:dyDescent="0.25">
      <c r="A80" s="5">
        <v>76</v>
      </c>
      <c r="B80" s="5" t="s">
        <v>604</v>
      </c>
      <c r="C80" s="15" t="s">
        <v>527</v>
      </c>
      <c r="D80" s="4" t="s">
        <v>605</v>
      </c>
      <c r="E80" s="4" t="s">
        <v>606</v>
      </c>
      <c r="F80" s="7" t="s">
        <v>607</v>
      </c>
      <c r="G80" s="4" t="s">
        <v>608</v>
      </c>
      <c r="H80" s="4" t="s">
        <v>609</v>
      </c>
      <c r="I80" s="5" t="s">
        <v>503</v>
      </c>
      <c r="J80" s="4"/>
      <c r="K80" s="4" t="s">
        <v>376</v>
      </c>
      <c r="L80" s="8" t="s">
        <v>284</v>
      </c>
      <c r="M80" s="5"/>
      <c r="N80" s="5" t="s">
        <v>47</v>
      </c>
      <c r="O80" s="4" t="s">
        <v>610</v>
      </c>
      <c r="P80" s="9"/>
      <c r="Q80" s="10"/>
    </row>
  </sheetData>
  <autoFilter ref="A4:Q80" xr:uid="{00000000-0009-0000-0000-000001000000}"/>
  <dataValidations count="2">
    <dataValidation type="list" allowBlank="1" sqref="N5:N80" xr:uid="{00000000-0002-0000-0100-000000000000}">
      <formula1>"Cao,Trung bình,Thấp"</formula1>
    </dataValidation>
    <dataValidation type="list" allowBlank="1" sqref="Q5:Q80" xr:uid="{00000000-0002-0000-0100-000002000000}">
      <formula1>"Chưa bắt đầu,Đang làm,Đang test,Hoàn thành"</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workbookViewId="0">
      <pane xSplit="2" ySplit="3" topLeftCell="C4" activePane="bottomRight" state="frozen"/>
      <selection pane="topRight"/>
      <selection pane="bottomLeft"/>
      <selection pane="bottomRight"/>
    </sheetView>
  </sheetViews>
  <sheetFormatPr defaultRowHeight="15" x14ac:dyDescent="0.25"/>
  <cols>
    <col min="1" max="1" width="7" customWidth="1"/>
    <col min="2" max="2" width="22" customWidth="1"/>
    <col min="3" max="3" width="40" customWidth="1"/>
    <col min="4" max="4" width="34" customWidth="1"/>
    <col min="5" max="5" width="60" customWidth="1"/>
    <col min="6" max="6" width="40" customWidth="1"/>
    <col min="7" max="7" width="22" customWidth="1"/>
    <col min="8" max="8" width="16" customWidth="1"/>
    <col min="9" max="9" width="30" customWidth="1"/>
  </cols>
  <sheetData>
    <row r="1" spans="1:9" ht="18.75" x14ac:dyDescent="0.3">
      <c r="A1" s="1" t="s">
        <v>611</v>
      </c>
    </row>
    <row r="3" spans="1:9" ht="32.1" customHeight="1" x14ac:dyDescent="0.25">
      <c r="A3" s="3" t="s">
        <v>612</v>
      </c>
      <c r="B3" s="3" t="s">
        <v>613</v>
      </c>
      <c r="C3" s="3" t="s">
        <v>614</v>
      </c>
      <c r="D3" s="3" t="s">
        <v>615</v>
      </c>
      <c r="E3" s="3" t="s">
        <v>31</v>
      </c>
      <c r="F3" s="3" t="s">
        <v>616</v>
      </c>
      <c r="G3" s="3" t="s">
        <v>617</v>
      </c>
      <c r="H3" s="3" t="s">
        <v>618</v>
      </c>
      <c r="I3" s="3" t="s">
        <v>619</v>
      </c>
    </row>
    <row r="4" spans="1:9" ht="45" x14ac:dyDescent="0.25">
      <c r="A4" s="5" t="s">
        <v>344</v>
      </c>
      <c r="B4" s="4" t="s">
        <v>620</v>
      </c>
      <c r="C4" s="4" t="s">
        <v>621</v>
      </c>
      <c r="D4" s="4" t="s">
        <v>622</v>
      </c>
      <c r="E4" s="7" t="s">
        <v>623</v>
      </c>
      <c r="F4" s="4" t="s">
        <v>624</v>
      </c>
      <c r="G4" s="4" t="s">
        <v>338</v>
      </c>
      <c r="H4" s="10" t="s">
        <v>625</v>
      </c>
      <c r="I4" s="9"/>
    </row>
    <row r="5" spans="1:9" ht="30" x14ac:dyDescent="0.25">
      <c r="A5" s="5" t="s">
        <v>337</v>
      </c>
      <c r="B5" s="4" t="s">
        <v>626</v>
      </c>
      <c r="C5" s="4" t="s">
        <v>627</v>
      </c>
      <c r="D5" s="4" t="s">
        <v>628</v>
      </c>
      <c r="E5" s="7" t="s">
        <v>629</v>
      </c>
      <c r="F5" s="4" t="s">
        <v>630</v>
      </c>
      <c r="G5" s="4" t="s">
        <v>331</v>
      </c>
      <c r="H5" s="10" t="s">
        <v>625</v>
      </c>
      <c r="I5" s="9"/>
    </row>
    <row r="6" spans="1:9" ht="45" x14ac:dyDescent="0.25">
      <c r="A6" s="5" t="s">
        <v>351</v>
      </c>
      <c r="B6" s="4" t="s">
        <v>631</v>
      </c>
      <c r="C6" s="4" t="s">
        <v>632</v>
      </c>
      <c r="D6" s="4" t="s">
        <v>633</v>
      </c>
      <c r="E6" s="7" t="s">
        <v>634</v>
      </c>
      <c r="F6" s="4" t="s">
        <v>635</v>
      </c>
      <c r="G6" s="4" t="s">
        <v>636</v>
      </c>
      <c r="H6" s="10" t="s">
        <v>625</v>
      </c>
      <c r="I6" s="9"/>
    </row>
    <row r="7" spans="1:9" x14ac:dyDescent="0.25">
      <c r="A7" s="5" t="s">
        <v>357</v>
      </c>
      <c r="B7" s="4" t="s">
        <v>637</v>
      </c>
      <c r="C7" s="4" t="s">
        <v>638</v>
      </c>
      <c r="D7" s="4" t="s">
        <v>639</v>
      </c>
      <c r="E7" s="7" t="s">
        <v>640</v>
      </c>
      <c r="F7" s="4" t="s">
        <v>641</v>
      </c>
      <c r="G7" s="4" t="s">
        <v>642</v>
      </c>
      <c r="H7" s="10" t="s">
        <v>625</v>
      </c>
      <c r="I7" s="9"/>
    </row>
    <row r="8" spans="1:9" ht="30" x14ac:dyDescent="0.25">
      <c r="A8" s="5" t="s">
        <v>307</v>
      </c>
      <c r="B8" s="4" t="s">
        <v>643</v>
      </c>
      <c r="C8" s="4" t="s">
        <v>644</v>
      </c>
      <c r="D8" s="4" t="s">
        <v>645</v>
      </c>
      <c r="E8" s="7" t="s">
        <v>646</v>
      </c>
      <c r="F8" s="4" t="s">
        <v>647</v>
      </c>
      <c r="G8" s="4" t="s">
        <v>301</v>
      </c>
      <c r="H8" s="10" t="s">
        <v>625</v>
      </c>
      <c r="I8" s="9"/>
    </row>
    <row r="9" spans="1:9" ht="42.75" x14ac:dyDescent="0.25">
      <c r="A9" s="5" t="s">
        <v>317</v>
      </c>
      <c r="B9" s="4" t="s">
        <v>648</v>
      </c>
      <c r="C9" s="4" t="s">
        <v>649</v>
      </c>
      <c r="D9" s="4" t="s">
        <v>650</v>
      </c>
      <c r="E9" s="7" t="s">
        <v>651</v>
      </c>
      <c r="F9" s="4" t="s">
        <v>652</v>
      </c>
      <c r="G9" s="4" t="s">
        <v>653</v>
      </c>
      <c r="H9" s="10" t="s">
        <v>625</v>
      </c>
      <c r="I9" s="9"/>
    </row>
    <row r="10" spans="1:9" ht="30" x14ac:dyDescent="0.25">
      <c r="A10" s="5" t="s">
        <v>654</v>
      </c>
      <c r="B10" s="4" t="s">
        <v>655</v>
      </c>
      <c r="C10" s="4" t="s">
        <v>656</v>
      </c>
      <c r="D10" s="4" t="s">
        <v>657</v>
      </c>
      <c r="E10" s="7" t="s">
        <v>658</v>
      </c>
      <c r="F10" s="4" t="s">
        <v>659</v>
      </c>
      <c r="G10" s="4" t="s">
        <v>660</v>
      </c>
      <c r="H10" s="10" t="s">
        <v>625</v>
      </c>
      <c r="I10" s="9"/>
    </row>
    <row r="11" spans="1:9" ht="30" x14ac:dyDescent="0.25">
      <c r="A11" s="5" t="s">
        <v>401</v>
      </c>
      <c r="B11" s="4" t="s">
        <v>661</v>
      </c>
      <c r="C11" s="4" t="s">
        <v>662</v>
      </c>
      <c r="D11" s="4" t="s">
        <v>663</v>
      </c>
      <c r="E11" s="7" t="s">
        <v>398</v>
      </c>
      <c r="F11" s="4" t="s">
        <v>664</v>
      </c>
      <c r="G11" s="4" t="s">
        <v>395</v>
      </c>
      <c r="H11" s="10" t="s">
        <v>625</v>
      </c>
      <c r="I11" s="9"/>
    </row>
    <row r="12" spans="1:9" ht="28.5" x14ac:dyDescent="0.25">
      <c r="A12" s="5" t="s">
        <v>549</v>
      </c>
      <c r="B12" s="4" t="s">
        <v>665</v>
      </c>
      <c r="C12" s="4" t="s">
        <v>662</v>
      </c>
      <c r="D12" s="4" t="s">
        <v>663</v>
      </c>
      <c r="E12" s="7" t="s">
        <v>547</v>
      </c>
      <c r="F12" s="4" t="s">
        <v>666</v>
      </c>
      <c r="G12" s="4" t="s">
        <v>543</v>
      </c>
      <c r="H12" s="10" t="s">
        <v>625</v>
      </c>
      <c r="I12" s="9"/>
    </row>
    <row r="13" spans="1:9" ht="30" x14ac:dyDescent="0.25">
      <c r="A13" s="5" t="s">
        <v>208</v>
      </c>
      <c r="B13" s="4" t="s">
        <v>667</v>
      </c>
      <c r="C13" s="4" t="s">
        <v>668</v>
      </c>
      <c r="D13" s="4" t="s">
        <v>669</v>
      </c>
      <c r="E13" s="7" t="s">
        <v>670</v>
      </c>
      <c r="F13" s="4" t="s">
        <v>671</v>
      </c>
      <c r="G13" s="4" t="s">
        <v>672</v>
      </c>
      <c r="H13" s="10" t="s">
        <v>625</v>
      </c>
      <c r="I13" s="9"/>
    </row>
    <row r="14" spans="1:9" ht="28.5" x14ac:dyDescent="0.25">
      <c r="A14" s="5" t="s">
        <v>215</v>
      </c>
      <c r="B14" s="4" t="s">
        <v>673</v>
      </c>
      <c r="C14" s="4" t="s">
        <v>674</v>
      </c>
      <c r="D14" s="4" t="s">
        <v>675</v>
      </c>
      <c r="E14" s="7" t="s">
        <v>676</v>
      </c>
      <c r="F14" s="4" t="s">
        <v>677</v>
      </c>
      <c r="G14" s="4" t="s">
        <v>678</v>
      </c>
      <c r="H14" s="10" t="s">
        <v>625</v>
      </c>
      <c r="I14" s="9"/>
    </row>
    <row r="15" spans="1:9" ht="42.75" x14ac:dyDescent="0.25">
      <c r="A15" s="5" t="s">
        <v>227</v>
      </c>
      <c r="B15" s="4" t="s">
        <v>679</v>
      </c>
      <c r="C15" s="4" t="s">
        <v>680</v>
      </c>
      <c r="D15" s="4" t="s">
        <v>681</v>
      </c>
      <c r="E15" s="7" t="s">
        <v>682</v>
      </c>
      <c r="F15" s="4" t="s">
        <v>683</v>
      </c>
      <c r="G15" s="4" t="s">
        <v>684</v>
      </c>
      <c r="H15" s="10" t="s">
        <v>625</v>
      </c>
      <c r="I15" s="9"/>
    </row>
    <row r="16" spans="1:9" ht="30" x14ac:dyDescent="0.25">
      <c r="A16" s="5" t="s">
        <v>169</v>
      </c>
      <c r="B16" s="4" t="s">
        <v>685</v>
      </c>
      <c r="C16" s="4" t="s">
        <v>686</v>
      </c>
      <c r="D16" s="4" t="s">
        <v>687</v>
      </c>
      <c r="E16" s="7" t="s">
        <v>688</v>
      </c>
      <c r="F16" s="4" t="s">
        <v>689</v>
      </c>
      <c r="G16" s="4" t="s">
        <v>690</v>
      </c>
      <c r="H16" s="10" t="s">
        <v>625</v>
      </c>
      <c r="I16" s="9"/>
    </row>
    <row r="17" spans="1:9" ht="30" x14ac:dyDescent="0.25">
      <c r="A17" s="5" t="s">
        <v>187</v>
      </c>
      <c r="B17" s="4" t="s">
        <v>691</v>
      </c>
      <c r="C17" s="4" t="s">
        <v>692</v>
      </c>
      <c r="D17" s="4" t="s">
        <v>693</v>
      </c>
      <c r="E17" s="7" t="s">
        <v>694</v>
      </c>
      <c r="F17" s="4" t="s">
        <v>695</v>
      </c>
      <c r="G17" s="4" t="s">
        <v>696</v>
      </c>
      <c r="H17" s="10" t="s">
        <v>625</v>
      </c>
      <c r="I17" s="9"/>
    </row>
    <row r="18" spans="1:9" ht="28.5" x14ac:dyDescent="0.25">
      <c r="A18" s="5" t="s">
        <v>268</v>
      </c>
      <c r="B18" s="4" t="s">
        <v>697</v>
      </c>
      <c r="C18" s="4" t="s">
        <v>698</v>
      </c>
      <c r="D18" s="4" t="s">
        <v>699</v>
      </c>
      <c r="E18" s="7" t="s">
        <v>700</v>
      </c>
      <c r="F18" s="4" t="s">
        <v>701</v>
      </c>
      <c r="G18" s="4" t="s">
        <v>262</v>
      </c>
      <c r="H18" s="10" t="s">
        <v>625</v>
      </c>
      <c r="I18" s="9"/>
    </row>
    <row r="19" spans="1:9" ht="42.75" x14ac:dyDescent="0.25">
      <c r="A19" s="5" t="s">
        <v>368</v>
      </c>
      <c r="B19" s="4" t="s">
        <v>702</v>
      </c>
      <c r="C19" s="4" t="s">
        <v>703</v>
      </c>
      <c r="D19" s="4" t="s">
        <v>628</v>
      </c>
      <c r="E19" s="7" t="s">
        <v>704</v>
      </c>
      <c r="F19" s="4" t="s">
        <v>705</v>
      </c>
      <c r="G19" s="4" t="s">
        <v>360</v>
      </c>
      <c r="H19" s="10" t="s">
        <v>625</v>
      </c>
      <c r="I19" s="9"/>
    </row>
    <row r="20" spans="1:9" ht="30" x14ac:dyDescent="0.25">
      <c r="A20" s="5" t="s">
        <v>177</v>
      </c>
      <c r="B20" s="4" t="s">
        <v>706</v>
      </c>
      <c r="C20" s="4" t="s">
        <v>707</v>
      </c>
      <c r="D20" s="4" t="s">
        <v>708</v>
      </c>
      <c r="E20" s="7" t="s">
        <v>709</v>
      </c>
      <c r="F20" s="4" t="s">
        <v>710</v>
      </c>
      <c r="G20" s="4" t="s">
        <v>170</v>
      </c>
      <c r="H20" s="10" t="s">
        <v>625</v>
      </c>
      <c r="I20" s="9"/>
    </row>
    <row r="21" spans="1:9" ht="30" x14ac:dyDescent="0.25">
      <c r="A21" s="5" t="s">
        <v>460</v>
      </c>
      <c r="B21" s="4" t="s">
        <v>711</v>
      </c>
      <c r="C21" s="4" t="s">
        <v>712</v>
      </c>
      <c r="D21" s="4" t="s">
        <v>713</v>
      </c>
      <c r="E21" s="7" t="s">
        <v>714</v>
      </c>
      <c r="F21" s="4" t="s">
        <v>715</v>
      </c>
      <c r="G21" s="4" t="s">
        <v>716</v>
      </c>
      <c r="H21" s="10" t="s">
        <v>625</v>
      </c>
      <c r="I21" s="9"/>
    </row>
    <row r="22" spans="1:9" ht="30" x14ac:dyDescent="0.25">
      <c r="A22" s="5" t="s">
        <v>524</v>
      </c>
      <c r="B22" s="4" t="s">
        <v>717</v>
      </c>
      <c r="C22" s="4" t="s">
        <v>718</v>
      </c>
      <c r="D22" s="4" t="s">
        <v>719</v>
      </c>
      <c r="E22" s="7" t="s">
        <v>720</v>
      </c>
      <c r="F22" s="4" t="s">
        <v>721</v>
      </c>
      <c r="G22" s="4" t="s">
        <v>722</v>
      </c>
      <c r="H22" s="10" t="s">
        <v>625</v>
      </c>
      <c r="I22" s="9"/>
    </row>
    <row r="23" spans="1:9" ht="45" x14ac:dyDescent="0.25">
      <c r="A23" s="5" t="s">
        <v>284</v>
      </c>
      <c r="B23" s="4" t="s">
        <v>723</v>
      </c>
      <c r="C23" s="4" t="s">
        <v>724</v>
      </c>
      <c r="D23" s="4" t="s">
        <v>725</v>
      </c>
      <c r="E23" s="7" t="s">
        <v>726</v>
      </c>
      <c r="F23" s="4" t="s">
        <v>727</v>
      </c>
      <c r="G23" s="4" t="s">
        <v>728</v>
      </c>
      <c r="H23" s="10" t="s">
        <v>625</v>
      </c>
      <c r="I23" s="9"/>
    </row>
    <row r="24" spans="1:9" ht="30" x14ac:dyDescent="0.25">
      <c r="A24" s="5" t="s">
        <v>572</v>
      </c>
      <c r="B24" s="4" t="s">
        <v>729</v>
      </c>
      <c r="C24" s="4" t="s">
        <v>730</v>
      </c>
      <c r="D24" s="4" t="s">
        <v>731</v>
      </c>
      <c r="E24" s="7" t="s">
        <v>732</v>
      </c>
      <c r="F24" s="4" t="s">
        <v>733</v>
      </c>
      <c r="G24" s="4" t="s">
        <v>565</v>
      </c>
      <c r="H24" s="10" t="s">
        <v>625</v>
      </c>
      <c r="I24" s="9"/>
    </row>
    <row r="25" spans="1:9" ht="30" x14ac:dyDescent="0.25">
      <c r="A25" s="5" t="s">
        <v>581</v>
      </c>
      <c r="B25" s="4" t="s">
        <v>734</v>
      </c>
      <c r="C25" s="4" t="s">
        <v>735</v>
      </c>
      <c r="D25" s="4" t="s">
        <v>736</v>
      </c>
      <c r="E25" s="7" t="s">
        <v>737</v>
      </c>
      <c r="F25" s="4" t="s">
        <v>738</v>
      </c>
      <c r="G25" s="4" t="s">
        <v>575</v>
      </c>
      <c r="H25" s="10" t="s">
        <v>625</v>
      </c>
      <c r="I25" s="9"/>
    </row>
    <row r="26" spans="1:9" ht="42.75" x14ac:dyDescent="0.25">
      <c r="A26" s="5" t="s">
        <v>136</v>
      </c>
      <c r="B26" s="4" t="s">
        <v>739</v>
      </c>
      <c r="C26" s="4" t="s">
        <v>740</v>
      </c>
      <c r="D26" s="4" t="s">
        <v>741</v>
      </c>
      <c r="E26" s="7" t="s">
        <v>742</v>
      </c>
      <c r="F26" s="4" t="s">
        <v>743</v>
      </c>
      <c r="G26" s="4" t="s">
        <v>744</v>
      </c>
      <c r="H26" s="10" t="s">
        <v>625</v>
      </c>
      <c r="I26" s="9"/>
    </row>
    <row r="27" spans="1:9" ht="30" x14ac:dyDescent="0.25">
      <c r="A27" s="5" t="s">
        <v>300</v>
      </c>
      <c r="B27" s="4" t="s">
        <v>745</v>
      </c>
      <c r="C27" s="4" t="s">
        <v>746</v>
      </c>
      <c r="D27" s="4" t="s">
        <v>747</v>
      </c>
      <c r="E27" s="7" t="s">
        <v>748</v>
      </c>
      <c r="F27" s="4" t="s">
        <v>749</v>
      </c>
      <c r="G27" s="4" t="s">
        <v>750</v>
      </c>
      <c r="H27" s="10" t="s">
        <v>625</v>
      </c>
      <c r="I27" s="9"/>
    </row>
    <row r="28" spans="1:9" ht="30" x14ac:dyDescent="0.25">
      <c r="A28" s="5" t="s">
        <v>62</v>
      </c>
      <c r="B28" s="4" t="s">
        <v>12</v>
      </c>
      <c r="C28" s="4" t="s">
        <v>751</v>
      </c>
      <c r="D28" s="4" t="s">
        <v>752</v>
      </c>
      <c r="E28" s="7" t="s">
        <v>753</v>
      </c>
      <c r="F28" s="4" t="s">
        <v>754</v>
      </c>
      <c r="G28" s="4" t="s">
        <v>755</v>
      </c>
      <c r="H28" s="10" t="s">
        <v>625</v>
      </c>
      <c r="I28" s="9"/>
    </row>
    <row r="29" spans="1:9" ht="30" x14ac:dyDescent="0.25">
      <c r="A29" s="5" t="s">
        <v>96</v>
      </c>
      <c r="B29" s="4" t="s">
        <v>756</v>
      </c>
      <c r="C29" s="4" t="s">
        <v>757</v>
      </c>
      <c r="D29" s="4" t="s">
        <v>758</v>
      </c>
      <c r="E29" s="7" t="s">
        <v>759</v>
      </c>
      <c r="F29" s="4" t="s">
        <v>760</v>
      </c>
      <c r="G29" s="4" t="s">
        <v>88</v>
      </c>
      <c r="H29" s="10" t="s">
        <v>625</v>
      </c>
      <c r="I29" s="9"/>
    </row>
    <row r="30" spans="1:9" ht="30" x14ac:dyDescent="0.25">
      <c r="A30" s="5" t="s">
        <v>144</v>
      </c>
      <c r="B30" s="4" t="s">
        <v>761</v>
      </c>
      <c r="C30" s="4" t="s">
        <v>762</v>
      </c>
      <c r="D30" s="4" t="s">
        <v>763</v>
      </c>
      <c r="E30" s="7" t="s">
        <v>764</v>
      </c>
      <c r="F30" s="4" t="s">
        <v>765</v>
      </c>
      <c r="G30" s="4" t="s">
        <v>138</v>
      </c>
      <c r="H30" s="10" t="s">
        <v>625</v>
      </c>
      <c r="I30" s="9"/>
    </row>
    <row r="31" spans="1:9" ht="28.5" x14ac:dyDescent="0.25">
      <c r="A31" s="5" t="s">
        <v>46</v>
      </c>
      <c r="B31" s="4" t="s">
        <v>766</v>
      </c>
      <c r="C31" s="4" t="s">
        <v>767</v>
      </c>
      <c r="D31" s="4" t="s">
        <v>768</v>
      </c>
      <c r="E31" s="7" t="s">
        <v>769</v>
      </c>
      <c r="F31" s="4" t="s">
        <v>770</v>
      </c>
      <c r="G31" s="4" t="s">
        <v>771</v>
      </c>
      <c r="H31" s="10" t="s">
        <v>625</v>
      </c>
      <c r="I31" s="9"/>
    </row>
    <row r="32" spans="1:9" ht="30" x14ac:dyDescent="0.25">
      <c r="A32" s="5" t="s">
        <v>153</v>
      </c>
      <c r="B32" s="4" t="s">
        <v>149</v>
      </c>
      <c r="C32" s="4" t="s">
        <v>772</v>
      </c>
      <c r="D32" s="4" t="s">
        <v>773</v>
      </c>
      <c r="E32" s="7" t="s">
        <v>774</v>
      </c>
      <c r="F32" s="4" t="s">
        <v>775</v>
      </c>
      <c r="G32" s="4" t="s">
        <v>776</v>
      </c>
      <c r="H32" s="10" t="s">
        <v>625</v>
      </c>
      <c r="I32" s="9"/>
    </row>
    <row r="33" spans="1:9" ht="30" x14ac:dyDescent="0.25">
      <c r="A33" s="5" t="s">
        <v>777</v>
      </c>
      <c r="B33" s="4" t="s">
        <v>778</v>
      </c>
      <c r="C33" s="4" t="s">
        <v>779</v>
      </c>
      <c r="D33" s="4" t="s">
        <v>780</v>
      </c>
      <c r="E33" s="7" t="s">
        <v>781</v>
      </c>
      <c r="F33" s="4" t="s">
        <v>782</v>
      </c>
      <c r="G33" s="4" t="s">
        <v>118</v>
      </c>
      <c r="H33" s="10" t="s">
        <v>625</v>
      </c>
      <c r="I33" s="9"/>
    </row>
    <row r="34" spans="1:9" ht="28.5" x14ac:dyDescent="0.25">
      <c r="A34" s="5" t="s">
        <v>200</v>
      </c>
      <c r="B34" s="4" t="s">
        <v>783</v>
      </c>
      <c r="C34" s="4" t="s">
        <v>784</v>
      </c>
      <c r="D34" s="4" t="s">
        <v>785</v>
      </c>
      <c r="E34" s="7" t="s">
        <v>786</v>
      </c>
      <c r="F34" s="4" t="s">
        <v>787</v>
      </c>
      <c r="G34" s="4" t="s">
        <v>788</v>
      </c>
      <c r="H34" s="10" t="s">
        <v>625</v>
      </c>
      <c r="I34" s="9"/>
    </row>
    <row r="35" spans="1:9" ht="30" x14ac:dyDescent="0.25">
      <c r="A35" s="5" t="s">
        <v>495</v>
      </c>
      <c r="B35" s="4" t="s">
        <v>789</v>
      </c>
      <c r="C35" s="4" t="s">
        <v>790</v>
      </c>
      <c r="D35" s="4" t="s">
        <v>791</v>
      </c>
      <c r="E35" s="7" t="s">
        <v>792</v>
      </c>
      <c r="F35" s="4" t="s">
        <v>793</v>
      </c>
      <c r="G35" s="4" t="s">
        <v>794</v>
      </c>
      <c r="H35" s="10" t="s">
        <v>625</v>
      </c>
      <c r="I35" s="9"/>
    </row>
    <row r="36" spans="1:9" ht="30" x14ac:dyDescent="0.25">
      <c r="A36" s="5" t="s">
        <v>589</v>
      </c>
      <c r="B36" s="4" t="s">
        <v>795</v>
      </c>
      <c r="C36" s="4" t="s">
        <v>796</v>
      </c>
      <c r="D36" s="4" t="s">
        <v>797</v>
      </c>
      <c r="E36" s="7" t="s">
        <v>798</v>
      </c>
      <c r="F36" s="4" t="s">
        <v>799</v>
      </c>
      <c r="G36" s="4" t="s">
        <v>800</v>
      </c>
      <c r="H36" s="10" t="s">
        <v>625</v>
      </c>
      <c r="I36" s="9"/>
    </row>
  </sheetData>
  <autoFilter ref="A3:I36" xr:uid="{00000000-0009-0000-0000-000002000000}"/>
  <dataValidations count="1">
    <dataValidation type="list" allowBlank="1" sqref="H4:H36" xr:uid="{00000000-0002-0000-0200-000000000000}">
      <formula1>"Chờ xác nhận,Đồng ý,Cần sửa"</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pane xSplit="2" ySplit="3" topLeftCell="C4" activePane="bottomRight" state="frozen"/>
      <selection pane="topRight"/>
      <selection pane="bottomLeft"/>
      <selection pane="bottomRight"/>
    </sheetView>
  </sheetViews>
  <sheetFormatPr defaultRowHeight="15" x14ac:dyDescent="0.25"/>
  <cols>
    <col min="1" max="1" width="7" customWidth="1"/>
    <col min="2" max="2" width="24" customWidth="1"/>
    <col min="3" max="3" width="36" customWidth="1"/>
    <col min="4" max="4" width="70" customWidth="1"/>
    <col min="5" max="5" width="24" customWidth="1"/>
    <col min="6" max="6" width="16" customWidth="1"/>
    <col min="7" max="7" width="50" customWidth="1"/>
    <col min="8" max="8" width="16" customWidth="1"/>
  </cols>
  <sheetData>
    <row r="1" spans="1:8" ht="18.75" x14ac:dyDescent="0.3">
      <c r="A1" s="1" t="s">
        <v>801</v>
      </c>
    </row>
    <row r="2" spans="1:8" x14ac:dyDescent="0.25">
      <c r="A2" s="2" t="s">
        <v>802</v>
      </c>
    </row>
    <row r="3" spans="1:8" ht="32.1" customHeight="1" x14ac:dyDescent="0.25">
      <c r="A3" s="3" t="s">
        <v>612</v>
      </c>
      <c r="B3" s="3" t="s">
        <v>613</v>
      </c>
      <c r="C3" s="3" t="s">
        <v>803</v>
      </c>
      <c r="D3" s="3" t="s">
        <v>32</v>
      </c>
      <c r="E3" s="3" t="s">
        <v>804</v>
      </c>
      <c r="F3" s="3" t="s">
        <v>805</v>
      </c>
      <c r="G3" s="3" t="s">
        <v>806</v>
      </c>
      <c r="H3" s="3" t="s">
        <v>618</v>
      </c>
    </row>
    <row r="4" spans="1:8" ht="71.25" x14ac:dyDescent="0.25">
      <c r="A4" s="5" t="s">
        <v>417</v>
      </c>
      <c r="B4" s="4" t="s">
        <v>807</v>
      </c>
      <c r="C4" s="4" t="s">
        <v>808</v>
      </c>
      <c r="D4" s="7" t="s">
        <v>809</v>
      </c>
      <c r="E4" s="4" t="s">
        <v>810</v>
      </c>
      <c r="F4" s="9"/>
      <c r="G4" s="9"/>
      <c r="H4" s="10" t="s">
        <v>811</v>
      </c>
    </row>
    <row r="5" spans="1:8" ht="42.75" x14ac:dyDescent="0.25">
      <c r="A5" s="5" t="s">
        <v>137</v>
      </c>
      <c r="B5" s="4" t="s">
        <v>812</v>
      </c>
      <c r="C5" s="4" t="s">
        <v>813</v>
      </c>
      <c r="D5" s="7" t="s">
        <v>814</v>
      </c>
      <c r="E5" s="4" t="s">
        <v>815</v>
      </c>
      <c r="F5" s="9"/>
      <c r="G5" s="9"/>
      <c r="H5" s="10" t="s">
        <v>811</v>
      </c>
    </row>
    <row r="6" spans="1:8" ht="85.5" x14ac:dyDescent="0.25">
      <c r="A6" s="5" t="s">
        <v>573</v>
      </c>
      <c r="B6" s="4" t="s">
        <v>816</v>
      </c>
      <c r="C6" s="4" t="s">
        <v>817</v>
      </c>
      <c r="D6" s="7" t="s">
        <v>818</v>
      </c>
      <c r="E6" s="4" t="s">
        <v>819</v>
      </c>
      <c r="F6" s="9"/>
      <c r="G6" s="9"/>
      <c r="H6" s="10" t="s">
        <v>811</v>
      </c>
    </row>
    <row r="7" spans="1:8" ht="85.5" x14ac:dyDescent="0.25">
      <c r="A7" s="5" t="s">
        <v>598</v>
      </c>
      <c r="B7" s="4" t="s">
        <v>820</v>
      </c>
      <c r="C7" s="4" t="s">
        <v>821</v>
      </c>
      <c r="D7" s="7" t="s">
        <v>822</v>
      </c>
      <c r="E7" s="4" t="s">
        <v>823</v>
      </c>
      <c r="F7" s="9"/>
      <c r="G7" s="9"/>
      <c r="H7" s="10" t="s">
        <v>811</v>
      </c>
    </row>
    <row r="8" spans="1:8" ht="45" x14ac:dyDescent="0.25">
      <c r="A8" s="5" t="s">
        <v>358</v>
      </c>
      <c r="B8" s="4" t="s">
        <v>637</v>
      </c>
      <c r="C8" s="4" t="s">
        <v>824</v>
      </c>
      <c r="D8" s="7" t="s">
        <v>825</v>
      </c>
      <c r="E8" s="4" t="s">
        <v>826</v>
      </c>
      <c r="F8" s="9"/>
      <c r="G8" s="9"/>
      <c r="H8" s="10" t="s">
        <v>811</v>
      </c>
    </row>
    <row r="9" spans="1:8" ht="42.75" x14ac:dyDescent="0.25">
      <c r="A9" s="5" t="s">
        <v>70</v>
      </c>
      <c r="B9" s="4" t="s">
        <v>827</v>
      </c>
      <c r="C9" s="4" t="s">
        <v>828</v>
      </c>
      <c r="D9" s="7" t="s">
        <v>829</v>
      </c>
      <c r="E9" s="4" t="s">
        <v>830</v>
      </c>
      <c r="F9" s="9"/>
      <c r="G9" s="9"/>
      <c r="H9" s="10" t="s">
        <v>811</v>
      </c>
    </row>
    <row r="10" spans="1:8" ht="42.75" x14ac:dyDescent="0.25">
      <c r="A10" s="5" t="s">
        <v>831</v>
      </c>
      <c r="B10" s="4" t="s">
        <v>832</v>
      </c>
      <c r="C10" s="4" t="s">
        <v>833</v>
      </c>
      <c r="D10" s="7" t="s">
        <v>834</v>
      </c>
      <c r="E10" s="4" t="s">
        <v>138</v>
      </c>
      <c r="F10" s="9"/>
      <c r="G10" s="9"/>
      <c r="H10" s="10" t="s">
        <v>811</v>
      </c>
    </row>
    <row r="11" spans="1:8" ht="28.5" x14ac:dyDescent="0.25">
      <c r="A11" s="5" t="s">
        <v>86</v>
      </c>
      <c r="B11" s="4" t="s">
        <v>835</v>
      </c>
      <c r="C11" s="4" t="s">
        <v>836</v>
      </c>
      <c r="D11" s="7" t="s">
        <v>837</v>
      </c>
      <c r="E11" s="4" t="s">
        <v>838</v>
      </c>
      <c r="F11" s="9"/>
      <c r="G11" s="9"/>
      <c r="H11" s="10" t="s">
        <v>811</v>
      </c>
    </row>
  </sheetData>
  <dataValidations count="1">
    <dataValidation type="list" allowBlank="1" sqref="H4:H11" xr:uid="{00000000-0002-0000-0300-000000000000}">
      <formula1>"Chưa trả lời,Đã trả lời,Cần trao đổi thêm"</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9"/>
  <sheetViews>
    <sheetView workbookViewId="0">
      <pane ySplit="3" topLeftCell="A4" activePane="bottomLeft" state="frozen"/>
      <selection pane="bottomLeft"/>
    </sheetView>
  </sheetViews>
  <sheetFormatPr defaultRowHeight="15" x14ac:dyDescent="0.25"/>
  <cols>
    <col min="1" max="1" width="22" customWidth="1"/>
    <col min="2" max="2" width="30" customWidth="1"/>
    <col min="3" max="3" width="22" customWidth="1"/>
    <col min="4" max="4" width="14" customWidth="1"/>
    <col min="5" max="5" width="55" customWidth="1"/>
    <col min="6" max="6" width="36" customWidth="1"/>
  </cols>
  <sheetData>
    <row r="1" spans="1:6" ht="18.75" x14ac:dyDescent="0.3">
      <c r="A1" s="1" t="s">
        <v>839</v>
      </c>
    </row>
    <row r="3" spans="1:6" ht="32.1" customHeight="1" x14ac:dyDescent="0.25">
      <c r="A3" s="3" t="s">
        <v>840</v>
      </c>
      <c r="B3" s="3" t="s">
        <v>841</v>
      </c>
      <c r="C3" s="3" t="s">
        <v>842</v>
      </c>
      <c r="D3" s="3" t="s">
        <v>843</v>
      </c>
      <c r="E3" s="3" t="s">
        <v>844</v>
      </c>
      <c r="F3" s="3" t="s">
        <v>845</v>
      </c>
    </row>
    <row r="4" spans="1:6" x14ac:dyDescent="0.25">
      <c r="A4" s="16" t="s">
        <v>61</v>
      </c>
      <c r="B4" s="4" t="s">
        <v>846</v>
      </c>
      <c r="C4" s="4" t="s">
        <v>847</v>
      </c>
      <c r="D4" s="5" t="s">
        <v>848</v>
      </c>
      <c r="E4" s="4" t="s">
        <v>849</v>
      </c>
      <c r="F4" s="4" t="s">
        <v>850</v>
      </c>
    </row>
    <row r="5" spans="1:6" x14ac:dyDescent="0.25">
      <c r="A5" s="17" t="s">
        <v>61</v>
      </c>
      <c r="B5" s="4" t="s">
        <v>851</v>
      </c>
      <c r="C5" s="4" t="s">
        <v>847</v>
      </c>
      <c r="D5" s="5" t="s">
        <v>848</v>
      </c>
      <c r="E5" s="4" t="s">
        <v>849</v>
      </c>
      <c r="F5" s="4"/>
    </row>
    <row r="6" spans="1:6" x14ac:dyDescent="0.25">
      <c r="A6" s="17" t="s">
        <v>61</v>
      </c>
      <c r="B6" s="4" t="s">
        <v>852</v>
      </c>
      <c r="C6" s="4" t="s">
        <v>847</v>
      </c>
      <c r="D6" s="5" t="s">
        <v>848</v>
      </c>
      <c r="E6" s="4" t="s">
        <v>853</v>
      </c>
      <c r="F6" s="4" t="s">
        <v>854</v>
      </c>
    </row>
    <row r="7" spans="1:6" x14ac:dyDescent="0.25">
      <c r="A7" s="17" t="s">
        <v>61</v>
      </c>
      <c r="B7" s="4" t="s">
        <v>855</v>
      </c>
      <c r="C7" s="4" t="s">
        <v>847</v>
      </c>
      <c r="D7" s="5" t="s">
        <v>848</v>
      </c>
      <c r="E7" s="4" t="s">
        <v>856</v>
      </c>
      <c r="F7" s="4"/>
    </row>
    <row r="8" spans="1:6" x14ac:dyDescent="0.25">
      <c r="A8" s="17" t="s">
        <v>61</v>
      </c>
      <c r="B8" s="4" t="s">
        <v>857</v>
      </c>
      <c r="C8" s="4" t="s">
        <v>858</v>
      </c>
      <c r="D8" s="5" t="s">
        <v>848</v>
      </c>
      <c r="E8" s="4" t="s">
        <v>859</v>
      </c>
      <c r="F8" s="4"/>
    </row>
    <row r="9" spans="1:6" x14ac:dyDescent="0.25">
      <c r="A9" s="17" t="s">
        <v>61</v>
      </c>
      <c r="B9" s="4" t="s">
        <v>860</v>
      </c>
      <c r="C9" s="4" t="s">
        <v>184</v>
      </c>
      <c r="D9" s="5" t="s">
        <v>848</v>
      </c>
      <c r="E9" s="4" t="s">
        <v>861</v>
      </c>
      <c r="F9" s="4"/>
    </row>
    <row r="10" spans="1:6" x14ac:dyDescent="0.25">
      <c r="A10" s="17" t="s">
        <v>61</v>
      </c>
      <c r="B10" s="4" t="s">
        <v>862</v>
      </c>
      <c r="C10" s="4" t="s">
        <v>863</v>
      </c>
      <c r="D10" s="5"/>
      <c r="E10" s="4"/>
      <c r="F10" s="4" t="s">
        <v>864</v>
      </c>
    </row>
    <row r="11" spans="1:6" x14ac:dyDescent="0.25">
      <c r="A11" s="17" t="s">
        <v>61</v>
      </c>
      <c r="B11" s="4" t="s">
        <v>865</v>
      </c>
      <c r="C11" s="4" t="s">
        <v>866</v>
      </c>
      <c r="D11" s="5"/>
      <c r="E11" s="4" t="s">
        <v>867</v>
      </c>
      <c r="F11" s="4" t="s">
        <v>868</v>
      </c>
    </row>
    <row r="12" spans="1:6" x14ac:dyDescent="0.25">
      <c r="A12" s="17" t="s">
        <v>61</v>
      </c>
      <c r="B12" s="4" t="s">
        <v>869</v>
      </c>
      <c r="C12" s="4" t="s">
        <v>870</v>
      </c>
      <c r="D12" s="5"/>
      <c r="E12" s="4" t="s">
        <v>871</v>
      </c>
      <c r="F12" s="4"/>
    </row>
    <row r="13" spans="1:6" x14ac:dyDescent="0.25">
      <c r="A13" s="16" t="s">
        <v>872</v>
      </c>
      <c r="B13" s="4" t="s">
        <v>873</v>
      </c>
      <c r="C13" s="4" t="s">
        <v>847</v>
      </c>
      <c r="D13" s="5" t="s">
        <v>848</v>
      </c>
      <c r="E13" s="4" t="s">
        <v>856</v>
      </c>
      <c r="F13" s="4"/>
    </row>
    <row r="14" spans="1:6" x14ac:dyDescent="0.25">
      <c r="A14" s="17" t="s">
        <v>872</v>
      </c>
      <c r="B14" s="4" t="s">
        <v>846</v>
      </c>
      <c r="C14" s="4" t="s">
        <v>874</v>
      </c>
      <c r="D14" s="5" t="s">
        <v>848</v>
      </c>
      <c r="E14" s="4"/>
      <c r="F14" s="4"/>
    </row>
    <row r="15" spans="1:6" x14ac:dyDescent="0.25">
      <c r="A15" s="17" t="s">
        <v>872</v>
      </c>
      <c r="B15" s="4" t="s">
        <v>875</v>
      </c>
      <c r="C15" s="4" t="s">
        <v>870</v>
      </c>
      <c r="D15" s="5" t="s">
        <v>848</v>
      </c>
      <c r="E15" s="4" t="s">
        <v>876</v>
      </c>
      <c r="F15" s="4"/>
    </row>
    <row r="16" spans="1:6" ht="60" x14ac:dyDescent="0.25">
      <c r="A16" s="16" t="s">
        <v>152</v>
      </c>
      <c r="B16" s="4" t="s">
        <v>877</v>
      </c>
      <c r="C16" s="4" t="s">
        <v>847</v>
      </c>
      <c r="D16" s="5" t="s">
        <v>848</v>
      </c>
      <c r="E16" s="4"/>
      <c r="F16" s="4" t="s">
        <v>878</v>
      </c>
    </row>
    <row r="17" spans="1:6" x14ac:dyDescent="0.25">
      <c r="A17" s="17" t="s">
        <v>152</v>
      </c>
      <c r="B17" s="4" t="s">
        <v>879</v>
      </c>
      <c r="C17" s="4" t="s">
        <v>880</v>
      </c>
      <c r="D17" s="5" t="s">
        <v>848</v>
      </c>
      <c r="E17" s="4"/>
      <c r="F17" s="4"/>
    </row>
    <row r="18" spans="1:6" x14ac:dyDescent="0.25">
      <c r="A18" s="17" t="s">
        <v>152</v>
      </c>
      <c r="B18" s="4" t="s">
        <v>881</v>
      </c>
      <c r="C18" s="4" t="s">
        <v>882</v>
      </c>
      <c r="D18" s="5"/>
      <c r="E18" s="4" t="s">
        <v>871</v>
      </c>
      <c r="F18" s="4" t="s">
        <v>883</v>
      </c>
    </row>
    <row r="19" spans="1:6" x14ac:dyDescent="0.25">
      <c r="A19" s="16" t="s">
        <v>126</v>
      </c>
      <c r="B19" s="4" t="s">
        <v>884</v>
      </c>
      <c r="C19" s="4" t="s">
        <v>847</v>
      </c>
      <c r="D19" s="5" t="s">
        <v>848</v>
      </c>
      <c r="E19" s="4" t="s">
        <v>856</v>
      </c>
      <c r="F19" s="4"/>
    </row>
    <row r="20" spans="1:6" ht="60" x14ac:dyDescent="0.25">
      <c r="A20" s="17" t="s">
        <v>126</v>
      </c>
      <c r="B20" s="4" t="s">
        <v>885</v>
      </c>
      <c r="C20" s="4" t="s">
        <v>184</v>
      </c>
      <c r="D20" s="5" t="s">
        <v>848</v>
      </c>
      <c r="E20" s="4"/>
      <c r="F20" s="4" t="s">
        <v>886</v>
      </c>
    </row>
    <row r="21" spans="1:6" x14ac:dyDescent="0.25">
      <c r="A21" s="17" t="s">
        <v>126</v>
      </c>
      <c r="B21" s="4" t="s">
        <v>887</v>
      </c>
      <c r="C21" s="4" t="s">
        <v>847</v>
      </c>
      <c r="D21" s="5" t="s">
        <v>848</v>
      </c>
      <c r="E21" s="4"/>
      <c r="F21" s="4"/>
    </row>
    <row r="22" spans="1:6" x14ac:dyDescent="0.25">
      <c r="A22" s="17" t="s">
        <v>126</v>
      </c>
      <c r="B22" s="4" t="s">
        <v>888</v>
      </c>
      <c r="C22" s="4" t="s">
        <v>847</v>
      </c>
      <c r="D22" s="5" t="s">
        <v>848</v>
      </c>
      <c r="E22" s="4" t="s">
        <v>849</v>
      </c>
      <c r="F22" s="4"/>
    </row>
    <row r="23" spans="1:6" x14ac:dyDescent="0.25">
      <c r="A23" s="17" t="s">
        <v>126</v>
      </c>
      <c r="B23" s="4" t="s">
        <v>889</v>
      </c>
      <c r="C23" s="4"/>
      <c r="D23" s="5" t="s">
        <v>848</v>
      </c>
      <c r="E23" s="4" t="s">
        <v>871</v>
      </c>
      <c r="F23" s="4"/>
    </row>
    <row r="24" spans="1:6" x14ac:dyDescent="0.25">
      <c r="A24" s="17" t="s">
        <v>126</v>
      </c>
      <c r="B24" s="4" t="s">
        <v>860</v>
      </c>
      <c r="C24" s="4" t="s">
        <v>184</v>
      </c>
      <c r="D24" s="5" t="s">
        <v>848</v>
      </c>
      <c r="E24" s="4" t="s">
        <v>890</v>
      </c>
      <c r="F24" s="4"/>
    </row>
    <row r="25" spans="1:6" x14ac:dyDescent="0.25">
      <c r="A25" s="17" t="s">
        <v>126</v>
      </c>
      <c r="B25" s="4" t="s">
        <v>891</v>
      </c>
      <c r="C25" s="4"/>
      <c r="D25" s="5"/>
      <c r="E25" s="4" t="s">
        <v>871</v>
      </c>
      <c r="F25" s="4"/>
    </row>
    <row r="26" spans="1:6" x14ac:dyDescent="0.25">
      <c r="A26" s="16" t="s">
        <v>135</v>
      </c>
      <c r="B26" s="4" t="s">
        <v>892</v>
      </c>
      <c r="C26" s="4" t="s">
        <v>847</v>
      </c>
      <c r="D26" s="5" t="s">
        <v>848</v>
      </c>
      <c r="E26" s="4" t="s">
        <v>856</v>
      </c>
      <c r="F26" s="4"/>
    </row>
    <row r="27" spans="1:6" ht="30" x14ac:dyDescent="0.25">
      <c r="A27" s="17" t="s">
        <v>135</v>
      </c>
      <c r="B27" s="4" t="s">
        <v>893</v>
      </c>
      <c r="C27" s="4" t="s">
        <v>847</v>
      </c>
      <c r="D27" s="5" t="s">
        <v>848</v>
      </c>
      <c r="E27" s="4"/>
      <c r="F27" s="4" t="s">
        <v>894</v>
      </c>
    </row>
    <row r="28" spans="1:6" x14ac:dyDescent="0.25">
      <c r="A28" s="17" t="s">
        <v>135</v>
      </c>
      <c r="B28" s="4" t="s">
        <v>895</v>
      </c>
      <c r="C28" s="4" t="s">
        <v>184</v>
      </c>
      <c r="D28" s="5" t="s">
        <v>848</v>
      </c>
      <c r="E28" s="4" t="s">
        <v>896</v>
      </c>
      <c r="F28" s="4"/>
    </row>
    <row r="29" spans="1:6" x14ac:dyDescent="0.25">
      <c r="A29" s="17" t="s">
        <v>135</v>
      </c>
      <c r="B29" s="4" t="s">
        <v>897</v>
      </c>
      <c r="C29" s="4" t="s">
        <v>847</v>
      </c>
      <c r="D29" s="5"/>
      <c r="E29" s="4" t="s">
        <v>898</v>
      </c>
      <c r="F29" s="4"/>
    </row>
    <row r="30" spans="1:6" x14ac:dyDescent="0.25">
      <c r="A30" s="17" t="s">
        <v>135</v>
      </c>
      <c r="B30" s="4" t="s">
        <v>899</v>
      </c>
      <c r="C30" s="4" t="s">
        <v>863</v>
      </c>
      <c r="D30" s="5"/>
      <c r="E30" s="4" t="s">
        <v>900</v>
      </c>
      <c r="F30" s="4"/>
    </row>
    <row r="31" spans="1:6" x14ac:dyDescent="0.25">
      <c r="A31" s="17" t="s">
        <v>135</v>
      </c>
      <c r="B31" s="4" t="s">
        <v>901</v>
      </c>
      <c r="C31" s="4" t="s">
        <v>863</v>
      </c>
      <c r="D31" s="5"/>
      <c r="E31" s="4" t="s">
        <v>849</v>
      </c>
      <c r="F31" s="4"/>
    </row>
    <row r="32" spans="1:6" x14ac:dyDescent="0.25">
      <c r="A32" s="17" t="s">
        <v>135</v>
      </c>
      <c r="B32" s="4" t="s">
        <v>902</v>
      </c>
      <c r="C32" s="4" t="s">
        <v>847</v>
      </c>
      <c r="D32" s="5"/>
      <c r="E32" s="4" t="s">
        <v>849</v>
      </c>
      <c r="F32" s="4" t="s">
        <v>903</v>
      </c>
    </row>
    <row r="33" spans="1:6" x14ac:dyDescent="0.25">
      <c r="A33" s="17" t="s">
        <v>135</v>
      </c>
      <c r="B33" s="4" t="s">
        <v>904</v>
      </c>
      <c r="C33" s="4"/>
      <c r="D33" s="5"/>
      <c r="E33" s="4" t="s">
        <v>871</v>
      </c>
      <c r="F33" s="4"/>
    </row>
    <row r="34" spans="1:6" x14ac:dyDescent="0.25">
      <c r="A34" s="16" t="s">
        <v>330</v>
      </c>
      <c r="B34" s="4" t="s">
        <v>893</v>
      </c>
      <c r="C34" s="4" t="s">
        <v>847</v>
      </c>
      <c r="D34" s="5" t="s">
        <v>848</v>
      </c>
      <c r="E34" s="4"/>
      <c r="F34" s="4"/>
    </row>
    <row r="35" spans="1:6" x14ac:dyDescent="0.25">
      <c r="A35" s="17" t="s">
        <v>330</v>
      </c>
      <c r="B35" s="4" t="s">
        <v>905</v>
      </c>
      <c r="C35" s="4" t="s">
        <v>847</v>
      </c>
      <c r="D35" s="5" t="s">
        <v>848</v>
      </c>
      <c r="E35" s="4" t="s">
        <v>849</v>
      </c>
      <c r="F35" s="4"/>
    </row>
    <row r="36" spans="1:6" x14ac:dyDescent="0.25">
      <c r="A36" s="17" t="s">
        <v>330</v>
      </c>
      <c r="B36" s="4" t="s">
        <v>906</v>
      </c>
      <c r="C36" s="4" t="s">
        <v>907</v>
      </c>
      <c r="D36" s="5" t="s">
        <v>848</v>
      </c>
      <c r="E36" s="4" t="s">
        <v>849</v>
      </c>
      <c r="F36" s="4"/>
    </row>
    <row r="37" spans="1:6" x14ac:dyDescent="0.25">
      <c r="A37" s="17" t="s">
        <v>330</v>
      </c>
      <c r="B37" s="4" t="s">
        <v>879</v>
      </c>
      <c r="C37" s="4" t="s">
        <v>908</v>
      </c>
      <c r="D37" s="5"/>
      <c r="E37" s="4" t="s">
        <v>849</v>
      </c>
      <c r="F37" s="4" t="s">
        <v>909</v>
      </c>
    </row>
    <row r="38" spans="1:6" x14ac:dyDescent="0.25">
      <c r="A38" s="17" t="s">
        <v>330</v>
      </c>
      <c r="B38" s="4" t="s">
        <v>892</v>
      </c>
      <c r="C38" s="4" t="s">
        <v>910</v>
      </c>
      <c r="D38" s="5"/>
      <c r="E38" s="4"/>
      <c r="F38" s="4" t="s">
        <v>911</v>
      </c>
    </row>
    <row r="39" spans="1:6" x14ac:dyDescent="0.25">
      <c r="A39" s="16" t="s">
        <v>161</v>
      </c>
      <c r="B39" s="4" t="s">
        <v>912</v>
      </c>
      <c r="C39" s="4" t="s">
        <v>847</v>
      </c>
      <c r="D39" s="5" t="s">
        <v>848</v>
      </c>
      <c r="E39" s="4" t="s">
        <v>849</v>
      </c>
      <c r="F39" s="4" t="s">
        <v>913</v>
      </c>
    </row>
    <row r="40" spans="1:6" x14ac:dyDescent="0.25">
      <c r="A40" s="17" t="s">
        <v>161</v>
      </c>
      <c r="B40" s="4" t="s">
        <v>914</v>
      </c>
      <c r="C40" s="4" t="s">
        <v>847</v>
      </c>
      <c r="D40" s="5" t="s">
        <v>848</v>
      </c>
      <c r="E40" s="4" t="s">
        <v>849</v>
      </c>
      <c r="F40" s="4"/>
    </row>
    <row r="41" spans="1:6" x14ac:dyDescent="0.25">
      <c r="A41" s="17" t="s">
        <v>161</v>
      </c>
      <c r="B41" s="4" t="s">
        <v>915</v>
      </c>
      <c r="C41" s="4" t="s">
        <v>184</v>
      </c>
      <c r="D41" s="5" t="s">
        <v>848</v>
      </c>
      <c r="E41" s="4" t="s">
        <v>916</v>
      </c>
      <c r="F41" s="4"/>
    </row>
    <row r="42" spans="1:6" x14ac:dyDescent="0.25">
      <c r="A42" s="17" t="s">
        <v>161</v>
      </c>
      <c r="B42" s="4" t="s">
        <v>917</v>
      </c>
      <c r="C42" s="4" t="s">
        <v>847</v>
      </c>
      <c r="D42" s="5"/>
      <c r="E42" s="4" t="s">
        <v>849</v>
      </c>
      <c r="F42" s="4" t="s">
        <v>918</v>
      </c>
    </row>
    <row r="43" spans="1:6" x14ac:dyDescent="0.25">
      <c r="A43" s="17" t="s">
        <v>161</v>
      </c>
      <c r="B43" s="4" t="s">
        <v>919</v>
      </c>
      <c r="C43" s="4" t="s">
        <v>908</v>
      </c>
      <c r="D43" s="5" t="s">
        <v>848</v>
      </c>
      <c r="E43" s="4" t="s">
        <v>849</v>
      </c>
      <c r="F43" s="4" t="s">
        <v>920</v>
      </c>
    </row>
    <row r="44" spans="1:6" x14ac:dyDescent="0.25">
      <c r="A44" s="17" t="s">
        <v>161</v>
      </c>
      <c r="B44" s="4" t="s">
        <v>921</v>
      </c>
      <c r="C44" s="4" t="s">
        <v>907</v>
      </c>
      <c r="D44" s="5" t="s">
        <v>848</v>
      </c>
      <c r="E44" s="4" t="s">
        <v>849</v>
      </c>
      <c r="F44" s="4"/>
    </row>
    <row r="45" spans="1:6" x14ac:dyDescent="0.25">
      <c r="A45" s="17" t="s">
        <v>161</v>
      </c>
      <c r="B45" s="4" t="s">
        <v>922</v>
      </c>
      <c r="C45" s="4" t="s">
        <v>908</v>
      </c>
      <c r="D45" s="5"/>
      <c r="E45" s="4" t="s">
        <v>923</v>
      </c>
      <c r="F45" s="4" t="s">
        <v>924</v>
      </c>
    </row>
    <row r="46" spans="1:6" x14ac:dyDescent="0.25">
      <c r="A46" s="17" t="s">
        <v>161</v>
      </c>
      <c r="B46" s="4" t="s">
        <v>860</v>
      </c>
      <c r="C46" s="4" t="s">
        <v>184</v>
      </c>
      <c r="D46" s="5" t="s">
        <v>848</v>
      </c>
      <c r="E46" s="4" t="s">
        <v>925</v>
      </c>
      <c r="F46" s="4"/>
    </row>
    <row r="47" spans="1:6" x14ac:dyDescent="0.25">
      <c r="A47" s="16" t="s">
        <v>176</v>
      </c>
      <c r="B47" s="4" t="s">
        <v>926</v>
      </c>
      <c r="C47" s="4" t="s">
        <v>847</v>
      </c>
      <c r="D47" s="5" t="s">
        <v>848</v>
      </c>
      <c r="E47" s="4"/>
      <c r="F47" s="4"/>
    </row>
    <row r="48" spans="1:6" x14ac:dyDescent="0.25">
      <c r="A48" s="17" t="s">
        <v>176</v>
      </c>
      <c r="B48" s="4" t="s">
        <v>927</v>
      </c>
      <c r="C48" s="4" t="s">
        <v>847</v>
      </c>
      <c r="D48" s="5" t="s">
        <v>848</v>
      </c>
      <c r="E48" s="4"/>
      <c r="F48" s="4"/>
    </row>
    <row r="49" spans="1:6" x14ac:dyDescent="0.25">
      <c r="A49" s="17" t="s">
        <v>176</v>
      </c>
      <c r="B49" s="4" t="s">
        <v>928</v>
      </c>
      <c r="C49" s="4" t="s">
        <v>184</v>
      </c>
      <c r="D49" s="5" t="s">
        <v>848</v>
      </c>
      <c r="E49" s="4" t="s">
        <v>929</v>
      </c>
      <c r="F49" s="4"/>
    </row>
    <row r="50" spans="1:6" x14ac:dyDescent="0.25">
      <c r="A50" s="17" t="s">
        <v>176</v>
      </c>
      <c r="B50" s="4" t="s">
        <v>930</v>
      </c>
      <c r="C50" s="4" t="s">
        <v>863</v>
      </c>
      <c r="D50" s="5"/>
      <c r="E50" s="4"/>
      <c r="F50" s="4"/>
    </row>
    <row r="51" spans="1:6" x14ac:dyDescent="0.25">
      <c r="A51" s="16" t="s">
        <v>185</v>
      </c>
      <c r="B51" s="4" t="s">
        <v>931</v>
      </c>
      <c r="C51" s="4" t="s">
        <v>847</v>
      </c>
      <c r="D51" s="5" t="s">
        <v>848</v>
      </c>
      <c r="E51" s="4" t="s">
        <v>932</v>
      </c>
      <c r="F51" s="4" t="s">
        <v>856</v>
      </c>
    </row>
    <row r="52" spans="1:6" x14ac:dyDescent="0.25">
      <c r="A52" s="17" t="s">
        <v>185</v>
      </c>
      <c r="B52" s="4" t="s">
        <v>933</v>
      </c>
      <c r="C52" s="4" t="s">
        <v>907</v>
      </c>
      <c r="D52" s="5" t="s">
        <v>848</v>
      </c>
      <c r="E52" s="4" t="s">
        <v>934</v>
      </c>
      <c r="F52" s="4"/>
    </row>
    <row r="53" spans="1:6" x14ac:dyDescent="0.25">
      <c r="A53" s="17" t="s">
        <v>185</v>
      </c>
      <c r="B53" s="4" t="s">
        <v>935</v>
      </c>
      <c r="C53" s="4" t="s">
        <v>184</v>
      </c>
      <c r="D53" s="5" t="s">
        <v>848</v>
      </c>
      <c r="E53" s="4" t="s">
        <v>936</v>
      </c>
      <c r="F53" s="4"/>
    </row>
    <row r="54" spans="1:6" ht="30" x14ac:dyDescent="0.25">
      <c r="A54" s="17" t="s">
        <v>185</v>
      </c>
      <c r="B54" s="4" t="s">
        <v>937</v>
      </c>
      <c r="C54" s="4" t="s">
        <v>938</v>
      </c>
      <c r="D54" s="5" t="s">
        <v>848</v>
      </c>
      <c r="E54" s="4"/>
      <c r="F54" s="4" t="s">
        <v>939</v>
      </c>
    </row>
    <row r="55" spans="1:6" ht="30" x14ac:dyDescent="0.25">
      <c r="A55" s="17" t="s">
        <v>185</v>
      </c>
      <c r="B55" s="4" t="s">
        <v>940</v>
      </c>
      <c r="C55" s="4" t="s">
        <v>938</v>
      </c>
      <c r="D55" s="5" t="s">
        <v>941</v>
      </c>
      <c r="E55" s="4"/>
      <c r="F55" s="4" t="s">
        <v>942</v>
      </c>
    </row>
    <row r="56" spans="1:6" ht="30" x14ac:dyDescent="0.25">
      <c r="A56" s="17" t="s">
        <v>185</v>
      </c>
      <c r="B56" s="4" t="s">
        <v>943</v>
      </c>
      <c r="C56" s="4" t="s">
        <v>944</v>
      </c>
      <c r="D56" s="5" t="s">
        <v>945</v>
      </c>
      <c r="E56" s="4" t="s">
        <v>946</v>
      </c>
      <c r="F56" s="4"/>
    </row>
    <row r="57" spans="1:6" x14ac:dyDescent="0.25">
      <c r="A57" s="17" t="s">
        <v>185</v>
      </c>
      <c r="B57" s="4" t="s">
        <v>947</v>
      </c>
      <c r="C57" s="4" t="s">
        <v>847</v>
      </c>
      <c r="D57" s="5" t="s">
        <v>848</v>
      </c>
      <c r="E57" s="4" t="s">
        <v>849</v>
      </c>
      <c r="F57" s="4"/>
    </row>
    <row r="58" spans="1:6" x14ac:dyDescent="0.25">
      <c r="A58" s="17" t="s">
        <v>185</v>
      </c>
      <c r="B58" s="4" t="s">
        <v>948</v>
      </c>
      <c r="C58" s="4" t="s">
        <v>908</v>
      </c>
      <c r="D58" s="5" t="s">
        <v>949</v>
      </c>
      <c r="E58" s="4" t="s">
        <v>849</v>
      </c>
      <c r="F58" s="4" t="s">
        <v>950</v>
      </c>
    </row>
    <row r="59" spans="1:6" ht="30" x14ac:dyDescent="0.25">
      <c r="A59" s="17" t="s">
        <v>185</v>
      </c>
      <c r="B59" s="4" t="s">
        <v>951</v>
      </c>
      <c r="C59" s="4" t="s">
        <v>908</v>
      </c>
      <c r="D59" s="5" t="s">
        <v>952</v>
      </c>
      <c r="E59" s="4" t="s">
        <v>849</v>
      </c>
      <c r="F59" s="4" t="s">
        <v>950</v>
      </c>
    </row>
    <row r="60" spans="1:6" ht="30" x14ac:dyDescent="0.25">
      <c r="A60" s="17" t="s">
        <v>185</v>
      </c>
      <c r="B60" s="4" t="s">
        <v>953</v>
      </c>
      <c r="C60" s="4" t="s">
        <v>954</v>
      </c>
      <c r="D60" s="5" t="s">
        <v>955</v>
      </c>
      <c r="E60" s="4"/>
      <c r="F60" s="4"/>
    </row>
    <row r="61" spans="1:6" x14ac:dyDescent="0.25">
      <c r="A61" s="17" t="s">
        <v>185</v>
      </c>
      <c r="B61" s="4" t="s">
        <v>956</v>
      </c>
      <c r="C61" s="4" t="s">
        <v>908</v>
      </c>
      <c r="D61" s="5" t="s">
        <v>955</v>
      </c>
      <c r="E61" s="4" t="s">
        <v>849</v>
      </c>
      <c r="F61" s="4" t="s">
        <v>957</v>
      </c>
    </row>
    <row r="62" spans="1:6" x14ac:dyDescent="0.25">
      <c r="A62" s="17" t="s">
        <v>185</v>
      </c>
      <c r="B62" s="4" t="s">
        <v>958</v>
      </c>
      <c r="C62" s="4" t="s">
        <v>847</v>
      </c>
      <c r="D62" s="5" t="s">
        <v>959</v>
      </c>
      <c r="E62" s="4"/>
      <c r="F62" s="4"/>
    </row>
    <row r="63" spans="1:6" x14ac:dyDescent="0.25">
      <c r="A63" s="17" t="s">
        <v>185</v>
      </c>
      <c r="B63" s="4" t="s">
        <v>960</v>
      </c>
      <c r="C63" s="4" t="s">
        <v>874</v>
      </c>
      <c r="D63" s="5" t="s">
        <v>848</v>
      </c>
      <c r="E63" s="4" t="s">
        <v>961</v>
      </c>
      <c r="F63" s="4"/>
    </row>
    <row r="64" spans="1:6" x14ac:dyDescent="0.25">
      <c r="A64" s="17" t="s">
        <v>185</v>
      </c>
      <c r="B64" s="4" t="s">
        <v>860</v>
      </c>
      <c r="C64" s="4" t="s">
        <v>184</v>
      </c>
      <c r="D64" s="5" t="s">
        <v>848</v>
      </c>
      <c r="E64" s="4" t="s">
        <v>962</v>
      </c>
      <c r="F64" s="4"/>
    </row>
    <row r="65" spans="1:6" x14ac:dyDescent="0.25">
      <c r="A65" s="17" t="s">
        <v>185</v>
      </c>
      <c r="B65" s="4" t="s">
        <v>891</v>
      </c>
      <c r="C65" s="4"/>
      <c r="D65" s="5"/>
      <c r="E65" s="4" t="s">
        <v>871</v>
      </c>
      <c r="F65" s="4"/>
    </row>
    <row r="66" spans="1:6" x14ac:dyDescent="0.25">
      <c r="A66" s="17" t="s">
        <v>185</v>
      </c>
      <c r="B66" s="4" t="s">
        <v>963</v>
      </c>
      <c r="C66" s="4" t="s">
        <v>847</v>
      </c>
      <c r="D66" s="5" t="s">
        <v>964</v>
      </c>
      <c r="E66" s="4"/>
      <c r="F66" s="4"/>
    </row>
    <row r="67" spans="1:6" x14ac:dyDescent="0.25">
      <c r="A67" s="17" t="s">
        <v>185</v>
      </c>
      <c r="B67" s="4" t="s">
        <v>965</v>
      </c>
      <c r="C67" s="4" t="s">
        <v>910</v>
      </c>
      <c r="D67" s="5"/>
      <c r="E67" s="4"/>
      <c r="F67" s="4"/>
    </row>
    <row r="68" spans="1:6" x14ac:dyDescent="0.25">
      <c r="A68" s="17" t="s">
        <v>185</v>
      </c>
      <c r="B68" s="4" t="s">
        <v>966</v>
      </c>
      <c r="C68" s="4" t="s">
        <v>847</v>
      </c>
      <c r="D68" s="5"/>
      <c r="E68" s="4"/>
      <c r="F68" s="4"/>
    </row>
    <row r="69" spans="1:6" x14ac:dyDescent="0.25">
      <c r="A69" s="16" t="s">
        <v>241</v>
      </c>
      <c r="B69" s="4" t="s">
        <v>967</v>
      </c>
      <c r="C69" s="4" t="s">
        <v>847</v>
      </c>
      <c r="D69" s="5" t="s">
        <v>848</v>
      </c>
      <c r="E69" s="4" t="s">
        <v>968</v>
      </c>
      <c r="F69" s="4" t="s">
        <v>856</v>
      </c>
    </row>
    <row r="70" spans="1:6" ht="30" x14ac:dyDescent="0.25">
      <c r="A70" s="17" t="s">
        <v>241</v>
      </c>
      <c r="B70" s="4" t="s">
        <v>969</v>
      </c>
      <c r="C70" s="4" t="s">
        <v>970</v>
      </c>
      <c r="D70" s="5" t="s">
        <v>848</v>
      </c>
      <c r="E70" s="4"/>
      <c r="F70" s="4" t="s">
        <v>971</v>
      </c>
    </row>
    <row r="71" spans="1:6" x14ac:dyDescent="0.25">
      <c r="A71" s="17" t="s">
        <v>241</v>
      </c>
      <c r="B71" s="4" t="s">
        <v>972</v>
      </c>
      <c r="C71" s="4" t="s">
        <v>907</v>
      </c>
      <c r="D71" s="5" t="s">
        <v>848</v>
      </c>
      <c r="E71" s="4"/>
      <c r="F71" s="4"/>
    </row>
    <row r="72" spans="1:6" ht="30" x14ac:dyDescent="0.25">
      <c r="A72" s="17" t="s">
        <v>241</v>
      </c>
      <c r="B72" s="4" t="s">
        <v>943</v>
      </c>
      <c r="C72" s="4" t="s">
        <v>944</v>
      </c>
      <c r="D72" s="5" t="s">
        <v>848</v>
      </c>
      <c r="E72" s="4" t="s">
        <v>973</v>
      </c>
      <c r="F72" s="4"/>
    </row>
    <row r="73" spans="1:6" x14ac:dyDescent="0.25">
      <c r="A73" s="17" t="s">
        <v>241</v>
      </c>
      <c r="B73" s="4" t="s">
        <v>947</v>
      </c>
      <c r="C73" s="4" t="s">
        <v>847</v>
      </c>
      <c r="D73" s="5" t="s">
        <v>848</v>
      </c>
      <c r="E73" s="4"/>
      <c r="F73" s="4"/>
    </row>
    <row r="74" spans="1:6" x14ac:dyDescent="0.25">
      <c r="A74" s="17" t="s">
        <v>241</v>
      </c>
      <c r="B74" s="4" t="s">
        <v>974</v>
      </c>
      <c r="C74" s="4" t="s">
        <v>908</v>
      </c>
      <c r="D74" s="5" t="s">
        <v>848</v>
      </c>
      <c r="E74" s="4"/>
      <c r="F74" s="4" t="s">
        <v>950</v>
      </c>
    </row>
    <row r="75" spans="1:6" ht="30" x14ac:dyDescent="0.25">
      <c r="A75" s="17" t="s">
        <v>241</v>
      </c>
      <c r="B75" s="4" t="s">
        <v>937</v>
      </c>
      <c r="C75" s="4" t="s">
        <v>938</v>
      </c>
      <c r="D75" s="5" t="s">
        <v>848</v>
      </c>
      <c r="E75" s="4"/>
      <c r="F75" s="4" t="s">
        <v>975</v>
      </c>
    </row>
    <row r="76" spans="1:6" x14ac:dyDescent="0.25">
      <c r="A76" s="17" t="s">
        <v>241</v>
      </c>
      <c r="B76" s="4" t="s">
        <v>976</v>
      </c>
      <c r="C76" s="4" t="s">
        <v>874</v>
      </c>
      <c r="D76" s="5" t="s">
        <v>848</v>
      </c>
      <c r="E76" s="4"/>
      <c r="F76" s="4"/>
    </row>
    <row r="77" spans="1:6" x14ac:dyDescent="0.25">
      <c r="A77" s="17" t="s">
        <v>241</v>
      </c>
      <c r="B77" s="4" t="s">
        <v>958</v>
      </c>
      <c r="C77" s="4" t="s">
        <v>847</v>
      </c>
      <c r="D77" s="5" t="s">
        <v>977</v>
      </c>
      <c r="E77" s="4"/>
      <c r="F77" s="4"/>
    </row>
    <row r="78" spans="1:6" x14ac:dyDescent="0.25">
      <c r="A78" s="17" t="s">
        <v>241</v>
      </c>
      <c r="B78" s="4" t="s">
        <v>978</v>
      </c>
      <c r="C78" s="4" t="s">
        <v>847</v>
      </c>
      <c r="D78" s="5"/>
      <c r="E78" s="4"/>
      <c r="F78" s="4" t="s">
        <v>979</v>
      </c>
    </row>
    <row r="79" spans="1:6" x14ac:dyDescent="0.25">
      <c r="A79" s="17" t="s">
        <v>241</v>
      </c>
      <c r="B79" s="4" t="s">
        <v>860</v>
      </c>
      <c r="C79" s="4" t="s">
        <v>184</v>
      </c>
      <c r="D79" s="5" t="s">
        <v>848</v>
      </c>
      <c r="E79" s="4" t="s">
        <v>962</v>
      </c>
      <c r="F79" s="4"/>
    </row>
    <row r="80" spans="1:6" x14ac:dyDescent="0.25">
      <c r="A80" s="17" t="s">
        <v>241</v>
      </c>
      <c r="B80" s="4" t="s">
        <v>891</v>
      </c>
      <c r="C80" s="4"/>
      <c r="D80" s="5"/>
      <c r="E80" s="4" t="s">
        <v>871</v>
      </c>
      <c r="F80" s="4"/>
    </row>
    <row r="81" spans="1:6" x14ac:dyDescent="0.25">
      <c r="A81" s="17" t="s">
        <v>241</v>
      </c>
      <c r="B81" s="4" t="s">
        <v>980</v>
      </c>
      <c r="C81" s="4"/>
      <c r="D81" s="5"/>
      <c r="E81" s="4"/>
      <c r="F81" s="4"/>
    </row>
    <row r="82" spans="1:6" x14ac:dyDescent="0.25">
      <c r="A82" s="16" t="s">
        <v>382</v>
      </c>
      <c r="B82" s="4" t="s">
        <v>981</v>
      </c>
      <c r="C82" s="4" t="s">
        <v>847</v>
      </c>
      <c r="D82" s="5" t="s">
        <v>848</v>
      </c>
      <c r="E82" s="4" t="s">
        <v>982</v>
      </c>
      <c r="F82" s="4"/>
    </row>
    <row r="83" spans="1:6" x14ac:dyDescent="0.25">
      <c r="A83" s="17" t="s">
        <v>382</v>
      </c>
      <c r="B83" s="4" t="s">
        <v>983</v>
      </c>
      <c r="C83" s="4" t="s">
        <v>847</v>
      </c>
      <c r="D83" s="5" t="s">
        <v>848</v>
      </c>
      <c r="E83" s="4"/>
      <c r="F83" s="4"/>
    </row>
    <row r="84" spans="1:6" x14ac:dyDescent="0.25">
      <c r="A84" s="17" t="s">
        <v>382</v>
      </c>
      <c r="B84" s="4" t="s">
        <v>984</v>
      </c>
      <c r="C84" s="4" t="s">
        <v>847</v>
      </c>
      <c r="D84" s="5"/>
      <c r="E84" s="4"/>
      <c r="F84" s="4" t="s">
        <v>985</v>
      </c>
    </row>
    <row r="85" spans="1:6" x14ac:dyDescent="0.25">
      <c r="A85" s="17" t="s">
        <v>382</v>
      </c>
      <c r="B85" s="4" t="s">
        <v>986</v>
      </c>
      <c r="C85" s="4" t="s">
        <v>847</v>
      </c>
      <c r="D85" s="5"/>
      <c r="E85" s="4"/>
      <c r="F85" s="4"/>
    </row>
    <row r="86" spans="1:6" x14ac:dyDescent="0.25">
      <c r="A86" s="17" t="s">
        <v>382</v>
      </c>
      <c r="B86" s="4" t="s">
        <v>987</v>
      </c>
      <c r="C86" s="4" t="s">
        <v>847</v>
      </c>
      <c r="D86" s="5"/>
      <c r="E86" s="4"/>
      <c r="F86" s="4"/>
    </row>
    <row r="87" spans="1:6" x14ac:dyDescent="0.25">
      <c r="A87" s="16" t="s">
        <v>451</v>
      </c>
      <c r="B87" s="4" t="s">
        <v>988</v>
      </c>
      <c r="C87" s="4" t="s">
        <v>847</v>
      </c>
      <c r="D87" s="5" t="s">
        <v>848</v>
      </c>
      <c r="E87" s="4" t="s">
        <v>989</v>
      </c>
      <c r="F87" s="4"/>
    </row>
    <row r="88" spans="1:6" x14ac:dyDescent="0.25">
      <c r="A88" s="17" t="s">
        <v>451</v>
      </c>
      <c r="B88" s="4" t="s">
        <v>990</v>
      </c>
      <c r="C88" s="4" t="s">
        <v>847</v>
      </c>
      <c r="D88" s="5" t="s">
        <v>848</v>
      </c>
      <c r="E88" s="4"/>
      <c r="F88" s="4"/>
    </row>
    <row r="89" spans="1:6" x14ac:dyDescent="0.25">
      <c r="A89" s="17" t="s">
        <v>451</v>
      </c>
      <c r="B89" s="4" t="s">
        <v>984</v>
      </c>
      <c r="C89" s="4" t="s">
        <v>847</v>
      </c>
      <c r="D89" s="5"/>
      <c r="E89" s="4"/>
      <c r="F89" s="4"/>
    </row>
    <row r="90" spans="1:6" x14ac:dyDescent="0.25">
      <c r="A90" s="17" t="s">
        <v>451</v>
      </c>
      <c r="B90" s="4" t="s">
        <v>991</v>
      </c>
      <c r="C90" s="4" t="s">
        <v>847</v>
      </c>
      <c r="D90" s="5"/>
      <c r="E90" s="4"/>
      <c r="F90" s="4"/>
    </row>
    <row r="91" spans="1:6" x14ac:dyDescent="0.25">
      <c r="A91" s="17" t="s">
        <v>451</v>
      </c>
      <c r="B91" s="4" t="s">
        <v>987</v>
      </c>
      <c r="C91" s="4" t="s">
        <v>847</v>
      </c>
      <c r="D91" s="5"/>
      <c r="E91" s="4"/>
      <c r="F91" s="4"/>
    </row>
    <row r="92" spans="1:6" x14ac:dyDescent="0.25">
      <c r="A92" s="16" t="s">
        <v>292</v>
      </c>
      <c r="B92" s="4" t="s">
        <v>969</v>
      </c>
      <c r="C92" s="4" t="s">
        <v>847</v>
      </c>
      <c r="D92" s="5" t="s">
        <v>848</v>
      </c>
      <c r="E92" s="4" t="s">
        <v>849</v>
      </c>
      <c r="F92" s="4" t="s">
        <v>913</v>
      </c>
    </row>
    <row r="93" spans="1:6" ht="30" x14ac:dyDescent="0.25">
      <c r="A93" s="17" t="s">
        <v>292</v>
      </c>
      <c r="B93" s="4" t="s">
        <v>981</v>
      </c>
      <c r="C93" s="4" t="s">
        <v>992</v>
      </c>
      <c r="D93" s="5" t="s">
        <v>848</v>
      </c>
      <c r="E93" s="4"/>
      <c r="F93" s="4"/>
    </row>
    <row r="94" spans="1:6" x14ac:dyDescent="0.25">
      <c r="A94" s="17" t="s">
        <v>292</v>
      </c>
      <c r="B94" s="4" t="s">
        <v>993</v>
      </c>
      <c r="C94" s="4" t="s">
        <v>847</v>
      </c>
      <c r="D94" s="5"/>
      <c r="E94" s="4" t="s">
        <v>994</v>
      </c>
      <c r="F94" s="4"/>
    </row>
    <row r="95" spans="1:6" x14ac:dyDescent="0.25">
      <c r="A95" s="17" t="s">
        <v>292</v>
      </c>
      <c r="B95" s="4" t="s">
        <v>995</v>
      </c>
      <c r="C95" s="4" t="s">
        <v>907</v>
      </c>
      <c r="D95" s="5" t="s">
        <v>996</v>
      </c>
      <c r="E95" s="4"/>
      <c r="F95" s="4"/>
    </row>
    <row r="96" spans="1:6" x14ac:dyDescent="0.25">
      <c r="A96" s="17" t="s">
        <v>292</v>
      </c>
      <c r="B96" s="4" t="s">
        <v>997</v>
      </c>
      <c r="C96" s="4" t="s">
        <v>907</v>
      </c>
      <c r="D96" s="5"/>
      <c r="E96" s="4"/>
      <c r="F96" s="4" t="s">
        <v>998</v>
      </c>
    </row>
    <row r="97" spans="1:6" ht="30" x14ac:dyDescent="0.25">
      <c r="A97" s="17" t="s">
        <v>292</v>
      </c>
      <c r="B97" s="4" t="s">
        <v>860</v>
      </c>
      <c r="C97" s="4" t="s">
        <v>184</v>
      </c>
      <c r="D97" s="5" t="s">
        <v>848</v>
      </c>
      <c r="E97" s="4" t="s">
        <v>999</v>
      </c>
      <c r="F97" s="4"/>
    </row>
    <row r="98" spans="1:6" x14ac:dyDescent="0.25">
      <c r="A98" s="17" t="s">
        <v>292</v>
      </c>
      <c r="B98" s="4" t="s">
        <v>1000</v>
      </c>
      <c r="C98" s="4" t="s">
        <v>874</v>
      </c>
      <c r="D98" s="5" t="s">
        <v>848</v>
      </c>
      <c r="E98" s="4"/>
      <c r="F98" s="4"/>
    </row>
    <row r="99" spans="1:6" x14ac:dyDescent="0.25">
      <c r="A99" s="17" t="s">
        <v>292</v>
      </c>
      <c r="B99" s="4" t="s">
        <v>1001</v>
      </c>
      <c r="C99" s="4" t="s">
        <v>908</v>
      </c>
      <c r="D99" s="5" t="s">
        <v>996</v>
      </c>
      <c r="E99" s="4"/>
      <c r="F99" s="4"/>
    </row>
    <row r="100" spans="1:6" x14ac:dyDescent="0.25">
      <c r="A100" s="17" t="s">
        <v>292</v>
      </c>
      <c r="B100" s="4" t="s">
        <v>1002</v>
      </c>
      <c r="C100" s="4" t="s">
        <v>1003</v>
      </c>
      <c r="D100" s="5" t="s">
        <v>848</v>
      </c>
      <c r="E100" s="4" t="s">
        <v>1004</v>
      </c>
      <c r="F100" s="4"/>
    </row>
    <row r="101" spans="1:6" x14ac:dyDescent="0.25">
      <c r="A101" s="17" t="s">
        <v>292</v>
      </c>
      <c r="B101" s="4" t="s">
        <v>1005</v>
      </c>
      <c r="C101" s="4" t="s">
        <v>908</v>
      </c>
      <c r="D101" s="5"/>
      <c r="E101" s="4" t="s">
        <v>1006</v>
      </c>
      <c r="F101" s="4" t="s">
        <v>924</v>
      </c>
    </row>
    <row r="102" spans="1:6" x14ac:dyDescent="0.25">
      <c r="A102" s="17" t="s">
        <v>292</v>
      </c>
      <c r="B102" s="4" t="s">
        <v>1007</v>
      </c>
      <c r="C102" s="4" t="s">
        <v>908</v>
      </c>
      <c r="D102" s="5"/>
      <c r="E102" s="4" t="s">
        <v>849</v>
      </c>
      <c r="F102" s="4"/>
    </row>
    <row r="103" spans="1:6" x14ac:dyDescent="0.25">
      <c r="A103" s="17" t="s">
        <v>292</v>
      </c>
      <c r="B103" s="4" t="s">
        <v>1008</v>
      </c>
      <c r="C103" s="4" t="s">
        <v>908</v>
      </c>
      <c r="D103" s="5"/>
      <c r="E103" s="4" t="s">
        <v>1009</v>
      </c>
      <c r="F103" s="4" t="s">
        <v>924</v>
      </c>
    </row>
    <row r="104" spans="1:6" x14ac:dyDescent="0.25">
      <c r="A104" s="17" t="s">
        <v>292</v>
      </c>
      <c r="B104" s="4" t="s">
        <v>1010</v>
      </c>
      <c r="C104" s="4" t="s">
        <v>1003</v>
      </c>
      <c r="D104" s="5"/>
      <c r="E104" s="4" t="s">
        <v>1011</v>
      </c>
      <c r="F104" s="4" t="s">
        <v>924</v>
      </c>
    </row>
    <row r="105" spans="1:6" x14ac:dyDescent="0.25">
      <c r="A105" s="17" t="s">
        <v>292</v>
      </c>
      <c r="B105" s="4" t="s">
        <v>1012</v>
      </c>
      <c r="C105" s="4" t="s">
        <v>908</v>
      </c>
      <c r="D105" s="5"/>
      <c r="E105" s="4" t="s">
        <v>1013</v>
      </c>
      <c r="F105" s="4" t="s">
        <v>924</v>
      </c>
    </row>
    <row r="106" spans="1:6" x14ac:dyDescent="0.25">
      <c r="A106" s="17" t="s">
        <v>292</v>
      </c>
      <c r="B106" s="4" t="s">
        <v>1014</v>
      </c>
      <c r="C106" s="4" t="s">
        <v>847</v>
      </c>
      <c r="D106" s="5"/>
      <c r="E106" s="4" t="s">
        <v>1015</v>
      </c>
      <c r="F106" s="4"/>
    </row>
    <row r="107" spans="1:6" x14ac:dyDescent="0.25">
      <c r="A107" s="17" t="s">
        <v>292</v>
      </c>
      <c r="B107" s="4" t="s">
        <v>1016</v>
      </c>
      <c r="C107" s="4" t="s">
        <v>908</v>
      </c>
      <c r="D107" s="5"/>
      <c r="E107" s="4" t="s">
        <v>1017</v>
      </c>
      <c r="F107" s="4" t="s">
        <v>924</v>
      </c>
    </row>
    <row r="108" spans="1:6" x14ac:dyDescent="0.25">
      <c r="A108" s="17" t="s">
        <v>292</v>
      </c>
      <c r="B108" s="4" t="s">
        <v>1018</v>
      </c>
      <c r="C108" s="4" t="s">
        <v>908</v>
      </c>
      <c r="D108" s="5"/>
      <c r="E108" s="4" t="s">
        <v>1019</v>
      </c>
      <c r="F108" s="4" t="s">
        <v>924</v>
      </c>
    </row>
    <row r="109" spans="1:6" ht="30" x14ac:dyDescent="0.25">
      <c r="A109" s="17" t="s">
        <v>292</v>
      </c>
      <c r="B109" s="4" t="s">
        <v>1020</v>
      </c>
      <c r="C109" s="4" t="s">
        <v>908</v>
      </c>
      <c r="D109" s="5"/>
      <c r="E109" s="4" t="s">
        <v>1021</v>
      </c>
      <c r="F109" s="4" t="s">
        <v>924</v>
      </c>
    </row>
    <row r="110" spans="1:6" x14ac:dyDescent="0.25">
      <c r="A110" s="17" t="s">
        <v>292</v>
      </c>
      <c r="B110" s="4" t="s">
        <v>966</v>
      </c>
      <c r="C110" s="4" t="s">
        <v>847</v>
      </c>
      <c r="D110" s="5"/>
      <c r="E110" s="4"/>
      <c r="F110" s="4"/>
    </row>
    <row r="111" spans="1:6" x14ac:dyDescent="0.25">
      <c r="A111" s="16" t="s">
        <v>356</v>
      </c>
      <c r="B111" s="4" t="s">
        <v>969</v>
      </c>
      <c r="C111" s="4" t="s">
        <v>1022</v>
      </c>
      <c r="D111" s="5" t="s">
        <v>848</v>
      </c>
      <c r="E111" s="4"/>
      <c r="F111" s="4"/>
    </row>
    <row r="112" spans="1:6" x14ac:dyDescent="0.25">
      <c r="A112" s="17" t="s">
        <v>356</v>
      </c>
      <c r="B112" s="4" t="s">
        <v>1023</v>
      </c>
      <c r="C112" s="4" t="s">
        <v>866</v>
      </c>
      <c r="D112" s="5" t="s">
        <v>848</v>
      </c>
      <c r="E112" s="4" t="s">
        <v>1024</v>
      </c>
      <c r="F112" s="4"/>
    </row>
    <row r="113" spans="1:6" x14ac:dyDescent="0.25">
      <c r="A113" s="17" t="s">
        <v>356</v>
      </c>
      <c r="B113" s="4" t="s">
        <v>1025</v>
      </c>
      <c r="C113" s="4" t="s">
        <v>1003</v>
      </c>
      <c r="D113" s="5"/>
      <c r="E113" s="4"/>
      <c r="F113" s="4"/>
    </row>
    <row r="114" spans="1:6" x14ac:dyDescent="0.25">
      <c r="A114" s="17" t="s">
        <v>356</v>
      </c>
      <c r="B114" s="4" t="s">
        <v>974</v>
      </c>
      <c r="C114" s="4" t="s">
        <v>908</v>
      </c>
      <c r="D114" s="5" t="s">
        <v>848</v>
      </c>
      <c r="E114" s="4" t="s">
        <v>1026</v>
      </c>
      <c r="F114" s="4"/>
    </row>
    <row r="115" spans="1:6" x14ac:dyDescent="0.25">
      <c r="A115" s="17" t="s">
        <v>356</v>
      </c>
      <c r="B115" s="4" t="s">
        <v>1027</v>
      </c>
      <c r="C115" s="4" t="s">
        <v>907</v>
      </c>
      <c r="D115" s="5"/>
      <c r="E115" s="4"/>
      <c r="F115" s="4"/>
    </row>
    <row r="116" spans="1:6" x14ac:dyDescent="0.25">
      <c r="A116" s="17" t="s">
        <v>356</v>
      </c>
      <c r="B116" s="4" t="s">
        <v>1028</v>
      </c>
      <c r="C116" s="4" t="s">
        <v>1029</v>
      </c>
      <c r="D116" s="5"/>
      <c r="E116" s="4" t="s">
        <v>1030</v>
      </c>
      <c r="F116" s="4"/>
    </row>
    <row r="117" spans="1:6" ht="30" x14ac:dyDescent="0.25">
      <c r="A117" s="17" t="s">
        <v>356</v>
      </c>
      <c r="B117" s="4" t="s">
        <v>1031</v>
      </c>
      <c r="C117" s="4" t="s">
        <v>938</v>
      </c>
      <c r="D117" s="5" t="s">
        <v>1032</v>
      </c>
      <c r="E117" s="4"/>
      <c r="F117" s="4"/>
    </row>
    <row r="118" spans="1:6" x14ac:dyDescent="0.25">
      <c r="A118" s="17" t="s">
        <v>356</v>
      </c>
      <c r="B118" s="4" t="s">
        <v>966</v>
      </c>
      <c r="C118" s="4" t="s">
        <v>847</v>
      </c>
      <c r="D118" s="5"/>
      <c r="E118" s="4"/>
      <c r="F118" s="4"/>
    </row>
    <row r="119" spans="1:6" x14ac:dyDescent="0.25">
      <c r="A119" s="16" t="s">
        <v>375</v>
      </c>
      <c r="B119" s="4" t="s">
        <v>1033</v>
      </c>
      <c r="C119" s="4" t="s">
        <v>847</v>
      </c>
      <c r="D119" s="5" t="s">
        <v>848</v>
      </c>
      <c r="E119" s="4" t="s">
        <v>849</v>
      </c>
      <c r="F119" s="4" t="s">
        <v>913</v>
      </c>
    </row>
    <row r="120" spans="1:6" x14ac:dyDescent="0.25">
      <c r="A120" s="17" t="s">
        <v>375</v>
      </c>
      <c r="B120" s="4" t="s">
        <v>988</v>
      </c>
      <c r="C120" s="4" t="s">
        <v>1034</v>
      </c>
      <c r="D120" s="5" t="s">
        <v>848</v>
      </c>
      <c r="E120" s="4"/>
      <c r="F120" s="4"/>
    </row>
    <row r="121" spans="1:6" x14ac:dyDescent="0.25">
      <c r="A121" s="17" t="s">
        <v>375</v>
      </c>
      <c r="B121" s="4" t="s">
        <v>1035</v>
      </c>
      <c r="C121" s="4" t="s">
        <v>847</v>
      </c>
      <c r="D121" s="5"/>
      <c r="E121" s="4" t="s">
        <v>1036</v>
      </c>
      <c r="F121" s="4"/>
    </row>
    <row r="122" spans="1:6" x14ac:dyDescent="0.25">
      <c r="A122" s="17" t="s">
        <v>375</v>
      </c>
      <c r="B122" s="4" t="s">
        <v>995</v>
      </c>
      <c r="C122" s="4" t="s">
        <v>907</v>
      </c>
      <c r="D122" s="5" t="s">
        <v>1037</v>
      </c>
      <c r="E122" s="4"/>
      <c r="F122" s="4"/>
    </row>
    <row r="123" spans="1:6" ht="30" x14ac:dyDescent="0.25">
      <c r="A123" s="17" t="s">
        <v>375</v>
      </c>
      <c r="B123" s="4" t="s">
        <v>1038</v>
      </c>
      <c r="C123" s="4" t="s">
        <v>970</v>
      </c>
      <c r="D123" s="5"/>
      <c r="E123" s="4"/>
      <c r="F123" s="4" t="s">
        <v>1039</v>
      </c>
    </row>
    <row r="124" spans="1:6" x14ac:dyDescent="0.25">
      <c r="A124" s="17" t="s">
        <v>375</v>
      </c>
      <c r="B124" s="4" t="s">
        <v>1040</v>
      </c>
      <c r="C124" s="4" t="s">
        <v>863</v>
      </c>
      <c r="D124" s="5"/>
      <c r="E124" s="4"/>
      <c r="F124" s="4" t="s">
        <v>1041</v>
      </c>
    </row>
    <row r="125" spans="1:6" ht="30" x14ac:dyDescent="0.25">
      <c r="A125" s="17" t="s">
        <v>375</v>
      </c>
      <c r="B125" s="4" t="s">
        <v>860</v>
      </c>
      <c r="C125" s="4" t="s">
        <v>184</v>
      </c>
      <c r="D125" s="5" t="s">
        <v>848</v>
      </c>
      <c r="E125" s="4" t="s">
        <v>1042</v>
      </c>
      <c r="F125" s="4"/>
    </row>
    <row r="126" spans="1:6" x14ac:dyDescent="0.25">
      <c r="A126" s="17" t="s">
        <v>375</v>
      </c>
      <c r="B126" s="4" t="s">
        <v>1043</v>
      </c>
      <c r="C126" s="4" t="s">
        <v>908</v>
      </c>
      <c r="D126" s="5"/>
      <c r="E126" s="4" t="s">
        <v>1044</v>
      </c>
      <c r="F126" s="4"/>
    </row>
    <row r="127" spans="1:6" ht="30" x14ac:dyDescent="0.25">
      <c r="A127" s="17" t="s">
        <v>375</v>
      </c>
      <c r="B127" s="4" t="s">
        <v>1045</v>
      </c>
      <c r="C127" s="4" t="s">
        <v>1046</v>
      </c>
      <c r="D127" s="5"/>
      <c r="E127" s="4"/>
      <c r="F127" s="4"/>
    </row>
    <row r="128" spans="1:6" x14ac:dyDescent="0.25">
      <c r="A128" s="17" t="s">
        <v>375</v>
      </c>
      <c r="B128" s="4" t="s">
        <v>1047</v>
      </c>
      <c r="C128" s="4" t="s">
        <v>908</v>
      </c>
      <c r="D128" s="5"/>
      <c r="E128" s="4" t="s">
        <v>1048</v>
      </c>
      <c r="F128" s="4" t="s">
        <v>924</v>
      </c>
    </row>
    <row r="129" spans="1:6" x14ac:dyDescent="0.25">
      <c r="A129" s="17" t="s">
        <v>375</v>
      </c>
      <c r="B129" s="4" t="s">
        <v>1049</v>
      </c>
      <c r="C129" s="4" t="s">
        <v>184</v>
      </c>
      <c r="D129" s="5"/>
      <c r="E129" s="4" t="s">
        <v>1050</v>
      </c>
      <c r="F129" s="4"/>
    </row>
    <row r="130" spans="1:6" ht="30" x14ac:dyDescent="0.25">
      <c r="A130" s="17" t="s">
        <v>375</v>
      </c>
      <c r="B130" s="4" t="s">
        <v>1051</v>
      </c>
      <c r="C130" s="4" t="s">
        <v>1052</v>
      </c>
      <c r="D130" s="5"/>
      <c r="E130" s="4" t="s">
        <v>1053</v>
      </c>
      <c r="F130" s="4" t="s">
        <v>1054</v>
      </c>
    </row>
    <row r="131" spans="1:6" ht="28.5" x14ac:dyDescent="0.25">
      <c r="A131" s="16" t="s">
        <v>415</v>
      </c>
      <c r="B131" s="4" t="s">
        <v>1055</v>
      </c>
      <c r="C131" s="4" t="s">
        <v>1056</v>
      </c>
      <c r="D131" s="5" t="s">
        <v>848</v>
      </c>
      <c r="E131" s="4"/>
      <c r="F131" s="4"/>
    </row>
    <row r="132" spans="1:6" ht="30" x14ac:dyDescent="0.25">
      <c r="A132" s="17" t="s">
        <v>415</v>
      </c>
      <c r="B132" s="4" t="s">
        <v>1057</v>
      </c>
      <c r="C132" s="4" t="s">
        <v>1058</v>
      </c>
      <c r="D132" s="5" t="s">
        <v>848</v>
      </c>
      <c r="E132" s="4"/>
      <c r="F132" s="4"/>
    </row>
    <row r="133" spans="1:6" x14ac:dyDescent="0.25">
      <c r="A133" s="17" t="s">
        <v>415</v>
      </c>
      <c r="B133" s="4" t="s">
        <v>1059</v>
      </c>
      <c r="C133" s="4" t="s">
        <v>847</v>
      </c>
      <c r="D133" s="5"/>
      <c r="E133" s="4" t="s">
        <v>1060</v>
      </c>
      <c r="F133" s="4"/>
    </row>
    <row r="134" spans="1:6" x14ac:dyDescent="0.25">
      <c r="A134" s="17" t="s">
        <v>415</v>
      </c>
      <c r="B134" s="4" t="s">
        <v>1061</v>
      </c>
      <c r="C134" s="4" t="s">
        <v>847</v>
      </c>
      <c r="D134" s="5"/>
      <c r="E134" s="4" t="s">
        <v>1062</v>
      </c>
      <c r="F134" s="4"/>
    </row>
    <row r="135" spans="1:6" x14ac:dyDescent="0.25">
      <c r="A135" s="17" t="s">
        <v>415</v>
      </c>
      <c r="B135" s="4" t="s">
        <v>1063</v>
      </c>
      <c r="C135" s="4" t="s">
        <v>866</v>
      </c>
      <c r="D135" s="5" t="s">
        <v>848</v>
      </c>
      <c r="E135" s="4"/>
      <c r="F135" s="4" t="s">
        <v>950</v>
      </c>
    </row>
    <row r="136" spans="1:6" x14ac:dyDescent="0.25">
      <c r="A136" s="17" t="s">
        <v>415</v>
      </c>
      <c r="B136" s="4" t="s">
        <v>1064</v>
      </c>
      <c r="C136" s="4" t="s">
        <v>847</v>
      </c>
      <c r="D136" s="5"/>
      <c r="E136" s="4" t="s">
        <v>1065</v>
      </c>
      <c r="F136" s="4"/>
    </row>
    <row r="137" spans="1:6" x14ac:dyDescent="0.25">
      <c r="A137" s="17" t="s">
        <v>415</v>
      </c>
      <c r="B137" s="4" t="s">
        <v>1066</v>
      </c>
      <c r="C137" s="4" t="s">
        <v>866</v>
      </c>
      <c r="D137" s="5" t="s">
        <v>848</v>
      </c>
      <c r="E137" s="4"/>
      <c r="F137" s="4" t="s">
        <v>1067</v>
      </c>
    </row>
    <row r="138" spans="1:6" x14ac:dyDescent="0.25">
      <c r="A138" s="17" t="s">
        <v>415</v>
      </c>
      <c r="B138" s="4" t="s">
        <v>1068</v>
      </c>
      <c r="C138" s="4" t="s">
        <v>184</v>
      </c>
      <c r="D138" s="5" t="s">
        <v>848</v>
      </c>
      <c r="E138" s="4" t="s">
        <v>1069</v>
      </c>
      <c r="F138" s="4"/>
    </row>
    <row r="139" spans="1:6" ht="30" x14ac:dyDescent="0.25">
      <c r="A139" s="17" t="s">
        <v>415</v>
      </c>
      <c r="B139" s="4" t="s">
        <v>1070</v>
      </c>
      <c r="C139" s="4" t="s">
        <v>866</v>
      </c>
      <c r="D139" s="5" t="s">
        <v>1071</v>
      </c>
      <c r="E139" s="4" t="s">
        <v>1072</v>
      </c>
      <c r="F139" s="4"/>
    </row>
    <row r="140" spans="1:6" x14ac:dyDescent="0.25">
      <c r="A140" s="17" t="s">
        <v>415</v>
      </c>
      <c r="B140" s="4" t="s">
        <v>1073</v>
      </c>
      <c r="C140" s="4" t="s">
        <v>908</v>
      </c>
      <c r="D140" s="5"/>
      <c r="E140" s="4" t="s">
        <v>1074</v>
      </c>
      <c r="F140" s="4" t="s">
        <v>924</v>
      </c>
    </row>
    <row r="141" spans="1:6" x14ac:dyDescent="0.25">
      <c r="A141" s="17" t="s">
        <v>415</v>
      </c>
      <c r="B141" s="4" t="s">
        <v>1075</v>
      </c>
      <c r="C141" s="4" t="s">
        <v>866</v>
      </c>
      <c r="D141" s="5"/>
      <c r="E141" s="4" t="s">
        <v>1076</v>
      </c>
      <c r="F141" s="4" t="s">
        <v>924</v>
      </c>
    </row>
    <row r="142" spans="1:6" x14ac:dyDescent="0.25">
      <c r="A142" s="17" t="s">
        <v>415</v>
      </c>
      <c r="B142" s="4" t="s">
        <v>966</v>
      </c>
      <c r="C142" s="4" t="s">
        <v>847</v>
      </c>
      <c r="D142" s="5"/>
      <c r="E142" s="4"/>
      <c r="F142" s="4"/>
    </row>
    <row r="143" spans="1:6" ht="28.5" x14ac:dyDescent="0.25">
      <c r="A143" s="16" t="s">
        <v>1077</v>
      </c>
      <c r="B143" s="4" t="s">
        <v>1078</v>
      </c>
      <c r="C143" s="4" t="s">
        <v>1056</v>
      </c>
      <c r="D143" s="5" t="s">
        <v>848</v>
      </c>
      <c r="E143" s="4" t="s">
        <v>1024</v>
      </c>
      <c r="F143" s="4"/>
    </row>
    <row r="144" spans="1:6" x14ac:dyDescent="0.25">
      <c r="A144" s="17" t="s">
        <v>1077</v>
      </c>
      <c r="B144" s="4" t="s">
        <v>974</v>
      </c>
      <c r="C144" s="4" t="s">
        <v>908</v>
      </c>
      <c r="D144" s="5" t="s">
        <v>848</v>
      </c>
      <c r="E144" s="4"/>
      <c r="F144" s="4"/>
    </row>
    <row r="145" spans="1:6" x14ac:dyDescent="0.25">
      <c r="A145" s="17" t="s">
        <v>1077</v>
      </c>
      <c r="B145" s="4" t="s">
        <v>1079</v>
      </c>
      <c r="C145" s="4" t="s">
        <v>907</v>
      </c>
      <c r="D145" s="5"/>
      <c r="E145" s="4"/>
      <c r="F145" s="4"/>
    </row>
    <row r="146" spans="1:6" x14ac:dyDescent="0.25">
      <c r="A146" s="17" t="s">
        <v>1077</v>
      </c>
      <c r="B146" s="4" t="s">
        <v>1080</v>
      </c>
      <c r="C146" s="4" t="s">
        <v>1029</v>
      </c>
      <c r="D146" s="5"/>
      <c r="E146" s="4" t="s">
        <v>1081</v>
      </c>
      <c r="F146" s="4"/>
    </row>
    <row r="147" spans="1:6" x14ac:dyDescent="0.25">
      <c r="A147" s="17" t="s">
        <v>1077</v>
      </c>
      <c r="B147" s="4" t="s">
        <v>1082</v>
      </c>
      <c r="C147" s="4" t="s">
        <v>1022</v>
      </c>
      <c r="D147" s="5"/>
      <c r="E147" s="4"/>
      <c r="F147" s="4" t="s">
        <v>1083</v>
      </c>
    </row>
    <row r="148" spans="1:6" x14ac:dyDescent="0.25">
      <c r="A148" s="16" t="s">
        <v>459</v>
      </c>
      <c r="B148" s="4" t="s">
        <v>1084</v>
      </c>
      <c r="C148" s="4" t="s">
        <v>847</v>
      </c>
      <c r="D148" s="5" t="s">
        <v>848</v>
      </c>
      <c r="E148" s="4"/>
      <c r="F148" s="4"/>
    </row>
    <row r="149" spans="1:6" x14ac:dyDescent="0.25">
      <c r="A149" s="17" t="s">
        <v>459</v>
      </c>
      <c r="B149" s="4" t="s">
        <v>1085</v>
      </c>
      <c r="C149" s="4" t="s">
        <v>847</v>
      </c>
      <c r="D149" s="5" t="s">
        <v>848</v>
      </c>
      <c r="E149" s="4"/>
      <c r="F149" s="4" t="s">
        <v>1086</v>
      </c>
    </row>
    <row r="150" spans="1:6" x14ac:dyDescent="0.25">
      <c r="A150" s="17" t="s">
        <v>459</v>
      </c>
      <c r="B150" s="4" t="s">
        <v>1087</v>
      </c>
      <c r="C150" s="4" t="s">
        <v>184</v>
      </c>
      <c r="D150" s="5" t="s">
        <v>848</v>
      </c>
      <c r="E150" s="4" t="s">
        <v>1088</v>
      </c>
      <c r="F150" s="4"/>
    </row>
    <row r="151" spans="1:6" x14ac:dyDescent="0.25">
      <c r="A151" s="17" t="s">
        <v>459</v>
      </c>
      <c r="B151" s="4" t="s">
        <v>930</v>
      </c>
      <c r="C151" s="4" t="s">
        <v>863</v>
      </c>
      <c r="D151" s="5"/>
      <c r="E151" s="4"/>
      <c r="F151" s="4"/>
    </row>
    <row r="152" spans="1:6" x14ac:dyDescent="0.25">
      <c r="A152" s="16" t="s">
        <v>466</v>
      </c>
      <c r="B152" s="4" t="s">
        <v>1057</v>
      </c>
      <c r="C152" s="4" t="s">
        <v>847</v>
      </c>
      <c r="D152" s="5" t="s">
        <v>848</v>
      </c>
      <c r="E152" s="4"/>
      <c r="F152" s="4" t="s">
        <v>1089</v>
      </c>
    </row>
    <row r="153" spans="1:6" x14ac:dyDescent="0.25">
      <c r="A153" s="17" t="s">
        <v>466</v>
      </c>
      <c r="B153" s="4" t="s">
        <v>1090</v>
      </c>
      <c r="C153" s="4" t="s">
        <v>847</v>
      </c>
      <c r="D153" s="5" t="s">
        <v>848</v>
      </c>
      <c r="E153" s="4"/>
      <c r="F153" s="4"/>
    </row>
    <row r="154" spans="1:6" x14ac:dyDescent="0.25">
      <c r="A154" s="17" t="s">
        <v>466</v>
      </c>
      <c r="B154" s="4" t="s">
        <v>928</v>
      </c>
      <c r="C154" s="4" t="s">
        <v>184</v>
      </c>
      <c r="D154" s="5" t="s">
        <v>848</v>
      </c>
      <c r="E154" s="4" t="s">
        <v>1091</v>
      </c>
      <c r="F154" s="4"/>
    </row>
    <row r="155" spans="1:6" x14ac:dyDescent="0.25">
      <c r="A155" s="17" t="s">
        <v>466</v>
      </c>
      <c r="B155" s="4" t="s">
        <v>1064</v>
      </c>
      <c r="C155" s="4" t="s">
        <v>847</v>
      </c>
      <c r="D155" s="5" t="s">
        <v>848</v>
      </c>
      <c r="E155" s="4"/>
      <c r="F155" s="4"/>
    </row>
    <row r="156" spans="1:6" x14ac:dyDescent="0.25">
      <c r="A156" s="17" t="s">
        <v>466</v>
      </c>
      <c r="B156" s="4" t="s">
        <v>1092</v>
      </c>
      <c r="C156" s="4" t="s">
        <v>858</v>
      </c>
      <c r="D156" s="5"/>
      <c r="E156" s="4" t="s">
        <v>1093</v>
      </c>
      <c r="F156" s="4"/>
    </row>
    <row r="157" spans="1:6" x14ac:dyDescent="0.25">
      <c r="A157" s="17" t="s">
        <v>466</v>
      </c>
      <c r="B157" s="4" t="s">
        <v>930</v>
      </c>
      <c r="C157" s="4" t="s">
        <v>863</v>
      </c>
      <c r="D157" s="5"/>
      <c r="E157" s="4"/>
      <c r="F157" s="4"/>
    </row>
    <row r="158" spans="1:6" x14ac:dyDescent="0.25">
      <c r="A158" s="16" t="s">
        <v>473</v>
      </c>
      <c r="B158" s="4" t="s">
        <v>931</v>
      </c>
      <c r="C158" s="4" t="s">
        <v>847</v>
      </c>
      <c r="D158" s="5" t="s">
        <v>848</v>
      </c>
      <c r="E158" s="4" t="s">
        <v>1094</v>
      </c>
      <c r="F158" s="4" t="s">
        <v>856</v>
      </c>
    </row>
    <row r="159" spans="1:6" x14ac:dyDescent="0.25">
      <c r="A159" s="17" t="s">
        <v>473</v>
      </c>
      <c r="B159" s="4" t="s">
        <v>972</v>
      </c>
      <c r="C159" s="4" t="s">
        <v>907</v>
      </c>
      <c r="D159" s="5" t="s">
        <v>848</v>
      </c>
      <c r="E159" s="4"/>
      <c r="F159" s="4"/>
    </row>
    <row r="160" spans="1:6" x14ac:dyDescent="0.25">
      <c r="A160" s="17" t="s">
        <v>473</v>
      </c>
      <c r="B160" s="4" t="s">
        <v>935</v>
      </c>
      <c r="C160" s="4" t="s">
        <v>184</v>
      </c>
      <c r="D160" s="5" t="s">
        <v>848</v>
      </c>
      <c r="E160" s="4" t="s">
        <v>1095</v>
      </c>
      <c r="F160" s="4"/>
    </row>
    <row r="161" spans="1:6" x14ac:dyDescent="0.25">
      <c r="A161" s="17" t="s">
        <v>473</v>
      </c>
      <c r="B161" s="4" t="s">
        <v>1096</v>
      </c>
      <c r="C161" s="4" t="s">
        <v>184</v>
      </c>
      <c r="D161" s="5" t="s">
        <v>848</v>
      </c>
      <c r="E161" s="4" t="s">
        <v>1097</v>
      </c>
      <c r="F161" s="4"/>
    </row>
    <row r="162" spans="1:6" x14ac:dyDescent="0.25">
      <c r="A162" s="17" t="s">
        <v>473</v>
      </c>
      <c r="B162" s="4" t="s">
        <v>1098</v>
      </c>
      <c r="C162" s="4" t="s">
        <v>847</v>
      </c>
      <c r="D162" s="5" t="s">
        <v>1099</v>
      </c>
      <c r="E162" s="4"/>
      <c r="F162" s="4"/>
    </row>
    <row r="163" spans="1:6" x14ac:dyDescent="0.25">
      <c r="A163" s="17" t="s">
        <v>473</v>
      </c>
      <c r="B163" s="4" t="s">
        <v>1100</v>
      </c>
      <c r="C163" s="4" t="s">
        <v>1101</v>
      </c>
      <c r="D163" s="5" t="s">
        <v>848</v>
      </c>
      <c r="E163" s="4"/>
      <c r="F163" s="4" t="s">
        <v>1102</v>
      </c>
    </row>
    <row r="164" spans="1:6" x14ac:dyDescent="0.25">
      <c r="A164" s="17" t="s">
        <v>473</v>
      </c>
      <c r="B164" s="4" t="s">
        <v>1103</v>
      </c>
      <c r="C164" s="4" t="s">
        <v>847</v>
      </c>
      <c r="D164" s="5" t="s">
        <v>1104</v>
      </c>
      <c r="E164" s="4"/>
      <c r="F164" s="4"/>
    </row>
    <row r="165" spans="1:6" x14ac:dyDescent="0.25">
      <c r="A165" s="17" t="s">
        <v>473</v>
      </c>
      <c r="B165" s="4" t="s">
        <v>976</v>
      </c>
      <c r="C165" s="4" t="s">
        <v>874</v>
      </c>
      <c r="D165" s="5" t="s">
        <v>848</v>
      </c>
      <c r="E165" s="4"/>
      <c r="F165" s="4"/>
    </row>
    <row r="166" spans="1:6" x14ac:dyDescent="0.25">
      <c r="A166" s="17" t="s">
        <v>473</v>
      </c>
      <c r="B166" s="4" t="s">
        <v>860</v>
      </c>
      <c r="C166" s="4" t="s">
        <v>184</v>
      </c>
      <c r="D166" s="5" t="s">
        <v>848</v>
      </c>
      <c r="E166" s="4" t="s">
        <v>1105</v>
      </c>
      <c r="F166" s="4"/>
    </row>
    <row r="167" spans="1:6" x14ac:dyDescent="0.25">
      <c r="A167" s="17" t="s">
        <v>473</v>
      </c>
      <c r="B167" s="4" t="s">
        <v>966</v>
      </c>
      <c r="C167" s="4" t="s">
        <v>847</v>
      </c>
      <c r="D167" s="5"/>
      <c r="E167" s="4"/>
      <c r="F167" s="4"/>
    </row>
    <row r="168" spans="1:6" x14ac:dyDescent="0.25">
      <c r="A168" s="16" t="s">
        <v>1106</v>
      </c>
      <c r="B168" s="4" t="s">
        <v>931</v>
      </c>
      <c r="C168" s="4" t="s">
        <v>1107</v>
      </c>
      <c r="D168" s="5" t="s">
        <v>848</v>
      </c>
      <c r="E168" s="4"/>
      <c r="F168" s="4"/>
    </row>
    <row r="169" spans="1:6" ht="30" x14ac:dyDescent="0.25">
      <c r="A169" s="17" t="s">
        <v>1106</v>
      </c>
      <c r="B169" s="4" t="s">
        <v>1057</v>
      </c>
      <c r="C169" s="4" t="s">
        <v>1058</v>
      </c>
      <c r="D169" s="5" t="s">
        <v>848</v>
      </c>
      <c r="E169" s="4"/>
      <c r="F169" s="4"/>
    </row>
    <row r="170" spans="1:6" x14ac:dyDescent="0.25">
      <c r="A170" s="17" t="s">
        <v>1106</v>
      </c>
      <c r="B170" s="4" t="s">
        <v>1108</v>
      </c>
      <c r="C170" s="4" t="s">
        <v>847</v>
      </c>
      <c r="D170" s="5"/>
      <c r="E170" s="4"/>
      <c r="F170" s="4" t="s">
        <v>1109</v>
      </c>
    </row>
    <row r="171" spans="1:6" x14ac:dyDescent="0.25">
      <c r="A171" s="17" t="s">
        <v>1106</v>
      </c>
      <c r="B171" s="4" t="s">
        <v>1063</v>
      </c>
      <c r="C171" s="4" t="s">
        <v>866</v>
      </c>
      <c r="D171" s="5" t="s">
        <v>848</v>
      </c>
      <c r="E171" s="4"/>
      <c r="F171" s="4" t="s">
        <v>950</v>
      </c>
    </row>
    <row r="172" spans="1:6" x14ac:dyDescent="0.25">
      <c r="A172" s="17" t="s">
        <v>1106</v>
      </c>
      <c r="B172" s="4" t="s">
        <v>1110</v>
      </c>
      <c r="C172" s="4" t="s">
        <v>1022</v>
      </c>
      <c r="D172" s="5"/>
      <c r="E172" s="4"/>
      <c r="F172" s="4" t="s">
        <v>1111</v>
      </c>
    </row>
    <row r="173" spans="1:6" x14ac:dyDescent="0.25">
      <c r="A173" s="17" t="s">
        <v>1106</v>
      </c>
      <c r="B173" s="4" t="s">
        <v>1112</v>
      </c>
      <c r="C173" s="4" t="s">
        <v>908</v>
      </c>
      <c r="D173" s="5"/>
      <c r="E173" s="4" t="s">
        <v>1113</v>
      </c>
      <c r="F173" s="4" t="s">
        <v>1114</v>
      </c>
    </row>
    <row r="174" spans="1:6" x14ac:dyDescent="0.25">
      <c r="A174" s="16" t="s">
        <v>533</v>
      </c>
      <c r="B174" s="4" t="s">
        <v>1115</v>
      </c>
      <c r="C174" s="4" t="s">
        <v>847</v>
      </c>
      <c r="D174" s="5" t="s">
        <v>848</v>
      </c>
      <c r="E174" s="4"/>
      <c r="F174" s="4" t="s">
        <v>913</v>
      </c>
    </row>
    <row r="175" spans="1:6" x14ac:dyDescent="0.25">
      <c r="A175" s="17" t="s">
        <v>533</v>
      </c>
      <c r="B175" s="4" t="s">
        <v>1116</v>
      </c>
      <c r="C175" s="4" t="s">
        <v>1117</v>
      </c>
      <c r="D175" s="5" t="s">
        <v>848</v>
      </c>
      <c r="E175" s="4"/>
      <c r="F175" s="4"/>
    </row>
    <row r="176" spans="1:6" x14ac:dyDescent="0.25">
      <c r="A176" s="17" t="s">
        <v>533</v>
      </c>
      <c r="B176" s="4" t="s">
        <v>1118</v>
      </c>
      <c r="C176" s="4" t="s">
        <v>907</v>
      </c>
      <c r="D176" s="5"/>
      <c r="E176" s="4"/>
      <c r="F176" s="4"/>
    </row>
    <row r="177" spans="1:6" ht="30" x14ac:dyDescent="0.25">
      <c r="A177" s="17" t="s">
        <v>533</v>
      </c>
      <c r="B177" s="4" t="s">
        <v>860</v>
      </c>
      <c r="C177" s="4" t="s">
        <v>184</v>
      </c>
      <c r="D177" s="5" t="s">
        <v>848</v>
      </c>
      <c r="E177" s="4" t="s">
        <v>1119</v>
      </c>
      <c r="F177" s="4"/>
    </row>
    <row r="178" spans="1:6" ht="30" x14ac:dyDescent="0.25">
      <c r="A178" s="17" t="s">
        <v>533</v>
      </c>
      <c r="B178" s="4" t="s">
        <v>1120</v>
      </c>
      <c r="C178" s="4" t="s">
        <v>1121</v>
      </c>
      <c r="D178" s="5"/>
      <c r="E178" s="4"/>
      <c r="F178" s="4"/>
    </row>
    <row r="179" spans="1:6" x14ac:dyDescent="0.25">
      <c r="A179" s="17" t="s">
        <v>533</v>
      </c>
      <c r="B179" s="4" t="s">
        <v>1122</v>
      </c>
      <c r="C179" s="4" t="s">
        <v>908</v>
      </c>
      <c r="D179" s="5"/>
      <c r="E179" s="4" t="s">
        <v>1123</v>
      </c>
      <c r="F179" s="4" t="s">
        <v>924</v>
      </c>
    </row>
    <row r="180" spans="1:6" x14ac:dyDescent="0.25">
      <c r="A180" s="17" t="s">
        <v>533</v>
      </c>
      <c r="B180" s="4" t="s">
        <v>1124</v>
      </c>
      <c r="C180" s="4" t="s">
        <v>908</v>
      </c>
      <c r="D180" s="5"/>
      <c r="E180" s="4" t="s">
        <v>1125</v>
      </c>
      <c r="F180" s="4" t="s">
        <v>924</v>
      </c>
    </row>
    <row r="181" spans="1:6" x14ac:dyDescent="0.25">
      <c r="A181" s="17" t="s">
        <v>533</v>
      </c>
      <c r="B181" s="4" t="s">
        <v>1126</v>
      </c>
      <c r="C181" s="4" t="s">
        <v>908</v>
      </c>
      <c r="D181" s="5"/>
      <c r="E181" s="4" t="s">
        <v>1127</v>
      </c>
      <c r="F181" s="4" t="s">
        <v>924</v>
      </c>
    </row>
    <row r="182" spans="1:6" x14ac:dyDescent="0.25">
      <c r="A182" s="17" t="s">
        <v>533</v>
      </c>
      <c r="B182" s="4" t="s">
        <v>1128</v>
      </c>
      <c r="C182" s="4" t="s">
        <v>908</v>
      </c>
      <c r="D182" s="5"/>
      <c r="E182" s="4" t="s">
        <v>1129</v>
      </c>
      <c r="F182" s="4"/>
    </row>
    <row r="183" spans="1:6" x14ac:dyDescent="0.25">
      <c r="A183" s="17" t="s">
        <v>533</v>
      </c>
      <c r="B183" s="4" t="s">
        <v>1130</v>
      </c>
      <c r="C183" s="4" t="s">
        <v>1003</v>
      </c>
      <c r="D183" s="5"/>
      <c r="E183" s="4" t="s">
        <v>1131</v>
      </c>
      <c r="F183" s="4" t="s">
        <v>1132</v>
      </c>
    </row>
    <row r="184" spans="1:6" ht="30" x14ac:dyDescent="0.25">
      <c r="A184" s="17" t="s">
        <v>533</v>
      </c>
      <c r="B184" s="4" t="s">
        <v>1133</v>
      </c>
      <c r="C184" s="4" t="s">
        <v>908</v>
      </c>
      <c r="D184" s="5"/>
      <c r="E184" s="4" t="s">
        <v>1134</v>
      </c>
      <c r="F184" s="4" t="s">
        <v>924</v>
      </c>
    </row>
    <row r="185" spans="1:6" ht="30" x14ac:dyDescent="0.25">
      <c r="A185" s="17" t="s">
        <v>533</v>
      </c>
      <c r="B185" s="4" t="s">
        <v>1135</v>
      </c>
      <c r="C185" s="4" t="s">
        <v>1136</v>
      </c>
      <c r="D185" s="5"/>
      <c r="E185" s="4" t="s">
        <v>1137</v>
      </c>
      <c r="F185" s="4"/>
    </row>
    <row r="186" spans="1:6" x14ac:dyDescent="0.25">
      <c r="A186" s="17" t="s">
        <v>533</v>
      </c>
      <c r="B186" s="4" t="s">
        <v>1138</v>
      </c>
      <c r="C186" s="4" t="s">
        <v>847</v>
      </c>
      <c r="D186" s="5"/>
      <c r="E186" s="4"/>
      <c r="F186" s="4"/>
    </row>
    <row r="187" spans="1:6" x14ac:dyDescent="0.25">
      <c r="A187" s="17" t="s">
        <v>533</v>
      </c>
      <c r="B187" s="4" t="s">
        <v>1139</v>
      </c>
      <c r="C187" s="4" t="s">
        <v>908</v>
      </c>
      <c r="D187" s="5"/>
      <c r="E187" s="4" t="s">
        <v>1140</v>
      </c>
      <c r="F187" s="4" t="s">
        <v>924</v>
      </c>
    </row>
    <row r="188" spans="1:6" ht="28.5" x14ac:dyDescent="0.25">
      <c r="A188" s="16" t="s">
        <v>1141</v>
      </c>
      <c r="B188" s="4" t="s">
        <v>1142</v>
      </c>
      <c r="C188" s="4" t="s">
        <v>1022</v>
      </c>
      <c r="D188" s="5" t="s">
        <v>848</v>
      </c>
      <c r="E188" s="4"/>
      <c r="F188" s="4"/>
    </row>
    <row r="189" spans="1:6" ht="30" x14ac:dyDescent="0.25">
      <c r="A189" s="17" t="s">
        <v>1141</v>
      </c>
      <c r="B189" s="4" t="s">
        <v>1033</v>
      </c>
      <c r="C189" s="4" t="s">
        <v>1143</v>
      </c>
      <c r="D189" s="5" t="s">
        <v>848</v>
      </c>
      <c r="E189" s="4"/>
      <c r="F189" s="4" t="s">
        <v>1144</v>
      </c>
    </row>
    <row r="190" spans="1:6" ht="28.5" x14ac:dyDescent="0.25">
      <c r="A190" s="16" t="s">
        <v>1145</v>
      </c>
      <c r="B190" s="4" t="s">
        <v>1142</v>
      </c>
      <c r="C190" s="4" t="s">
        <v>1022</v>
      </c>
      <c r="D190" s="5" t="s">
        <v>848</v>
      </c>
      <c r="E190" s="4"/>
      <c r="F190" s="4"/>
    </row>
    <row r="191" spans="1:6" ht="30" x14ac:dyDescent="0.25">
      <c r="A191" s="17" t="s">
        <v>1145</v>
      </c>
      <c r="B191" s="4" t="s">
        <v>915</v>
      </c>
      <c r="C191" s="4" t="s">
        <v>184</v>
      </c>
      <c r="D191" s="5" t="s">
        <v>848</v>
      </c>
      <c r="E191" s="4" t="s">
        <v>1146</v>
      </c>
      <c r="F191" s="4"/>
    </row>
    <row r="192" spans="1:6" ht="30" x14ac:dyDescent="0.25">
      <c r="A192" s="17" t="s">
        <v>1145</v>
      </c>
      <c r="B192" s="4" t="s">
        <v>1147</v>
      </c>
      <c r="C192" s="4" t="s">
        <v>1148</v>
      </c>
      <c r="D192" s="5" t="s">
        <v>848</v>
      </c>
      <c r="E192" s="4"/>
      <c r="F192" s="4"/>
    </row>
    <row r="193" spans="1:6" ht="28.5" x14ac:dyDescent="0.25">
      <c r="A193" s="16" t="s">
        <v>1149</v>
      </c>
      <c r="B193" s="4" t="s">
        <v>1150</v>
      </c>
      <c r="C193" s="4"/>
      <c r="D193" s="5" t="s">
        <v>848</v>
      </c>
      <c r="E193" s="4"/>
      <c r="F193" s="4"/>
    </row>
    <row r="194" spans="1:6" ht="30" x14ac:dyDescent="0.25">
      <c r="A194" s="17" t="s">
        <v>1149</v>
      </c>
      <c r="B194" s="4" t="s">
        <v>1151</v>
      </c>
      <c r="C194" s="4" t="s">
        <v>1152</v>
      </c>
      <c r="D194" s="5" t="s">
        <v>848</v>
      </c>
      <c r="E194" s="4"/>
      <c r="F194" s="4" t="s">
        <v>1153</v>
      </c>
    </row>
    <row r="195" spans="1:6" ht="28.5" x14ac:dyDescent="0.25">
      <c r="A195" s="16" t="s">
        <v>1154</v>
      </c>
      <c r="B195" s="4" t="s">
        <v>1155</v>
      </c>
      <c r="C195" s="4" t="s">
        <v>1022</v>
      </c>
      <c r="D195" s="5" t="s">
        <v>848</v>
      </c>
      <c r="E195" s="4"/>
      <c r="F195" s="4"/>
    </row>
    <row r="196" spans="1:6" ht="30" x14ac:dyDescent="0.25">
      <c r="A196" s="17" t="s">
        <v>1154</v>
      </c>
      <c r="B196" s="4" t="s">
        <v>1156</v>
      </c>
      <c r="C196" s="4"/>
      <c r="D196" s="5" t="s">
        <v>848</v>
      </c>
      <c r="E196" s="4"/>
      <c r="F196" s="4"/>
    </row>
    <row r="197" spans="1:6" ht="30" x14ac:dyDescent="0.25">
      <c r="A197" s="17" t="s">
        <v>1154</v>
      </c>
      <c r="B197" s="4" t="s">
        <v>1157</v>
      </c>
      <c r="C197" s="4" t="s">
        <v>908</v>
      </c>
      <c r="D197" s="5"/>
      <c r="E197" s="4" t="s">
        <v>1158</v>
      </c>
      <c r="F197" s="4"/>
    </row>
    <row r="198" spans="1:6" ht="28.5" x14ac:dyDescent="0.25">
      <c r="A198" s="16" t="s">
        <v>588</v>
      </c>
      <c r="B198" s="4" t="s">
        <v>1142</v>
      </c>
      <c r="C198" s="4" t="s">
        <v>1022</v>
      </c>
      <c r="D198" s="5" t="s">
        <v>848</v>
      </c>
      <c r="E198" s="4"/>
      <c r="F198" s="4"/>
    </row>
    <row r="199" spans="1:6" ht="30" x14ac:dyDescent="0.25">
      <c r="A199" s="17" t="s">
        <v>588</v>
      </c>
      <c r="B199" s="4" t="s">
        <v>1159</v>
      </c>
      <c r="C199" s="4" t="s">
        <v>1029</v>
      </c>
      <c r="D199" s="5"/>
      <c r="E199" s="4"/>
      <c r="F199" s="4" t="s">
        <v>1160</v>
      </c>
    </row>
    <row r="200" spans="1:6" ht="45" x14ac:dyDescent="0.25">
      <c r="A200" s="17" t="s">
        <v>588</v>
      </c>
      <c r="B200" s="4" t="s">
        <v>1161</v>
      </c>
      <c r="C200" s="4"/>
      <c r="D200" s="5"/>
      <c r="E200" s="4"/>
      <c r="F200" s="4"/>
    </row>
    <row r="201" spans="1:6" ht="30" x14ac:dyDescent="0.25">
      <c r="A201" s="17" t="s">
        <v>588</v>
      </c>
      <c r="B201" s="4" t="s">
        <v>1157</v>
      </c>
      <c r="C201" s="4" t="s">
        <v>908</v>
      </c>
      <c r="D201" s="5"/>
      <c r="E201" s="4" t="s">
        <v>1162</v>
      </c>
      <c r="F201" s="4"/>
    </row>
    <row r="202" spans="1:6" ht="30" x14ac:dyDescent="0.25">
      <c r="A202" s="17" t="s">
        <v>588</v>
      </c>
      <c r="B202" s="4" t="s">
        <v>966</v>
      </c>
      <c r="C202" s="4" t="s">
        <v>847</v>
      </c>
      <c r="D202" s="5"/>
      <c r="E202" s="4"/>
      <c r="F202" s="4"/>
    </row>
    <row r="203" spans="1:6" x14ac:dyDescent="0.25">
      <c r="A203" s="16" t="s">
        <v>597</v>
      </c>
      <c r="B203" s="4" t="s">
        <v>1163</v>
      </c>
      <c r="C203" s="4" t="s">
        <v>847</v>
      </c>
      <c r="D203" s="5" t="s">
        <v>848</v>
      </c>
      <c r="E203" s="4" t="s">
        <v>856</v>
      </c>
      <c r="F203" s="4"/>
    </row>
    <row r="204" spans="1:6" x14ac:dyDescent="0.25">
      <c r="A204" s="17" t="s">
        <v>597</v>
      </c>
      <c r="B204" s="4" t="s">
        <v>972</v>
      </c>
      <c r="C204" s="4" t="s">
        <v>907</v>
      </c>
      <c r="D204" s="5" t="s">
        <v>848</v>
      </c>
      <c r="E204" s="4"/>
      <c r="F204" s="4"/>
    </row>
    <row r="205" spans="1:6" x14ac:dyDescent="0.25">
      <c r="A205" s="17" t="s">
        <v>597</v>
      </c>
      <c r="B205" s="4" t="s">
        <v>1164</v>
      </c>
      <c r="C205" s="4" t="s">
        <v>184</v>
      </c>
      <c r="D205" s="5" t="s">
        <v>848</v>
      </c>
      <c r="E205" s="4" t="s">
        <v>1165</v>
      </c>
      <c r="F205" s="4" t="s">
        <v>1166</v>
      </c>
    </row>
    <row r="206" spans="1:6" x14ac:dyDescent="0.25">
      <c r="A206" s="17" t="s">
        <v>597</v>
      </c>
      <c r="B206" s="4" t="s">
        <v>1142</v>
      </c>
      <c r="C206" s="4" t="s">
        <v>1022</v>
      </c>
      <c r="D206" s="5"/>
      <c r="E206" s="4"/>
      <c r="F206" s="4"/>
    </row>
    <row r="207" spans="1:6" x14ac:dyDescent="0.25">
      <c r="A207" s="17" t="s">
        <v>597</v>
      </c>
      <c r="B207" s="4" t="s">
        <v>974</v>
      </c>
      <c r="C207" s="4" t="s">
        <v>908</v>
      </c>
      <c r="D207" s="5" t="s">
        <v>848</v>
      </c>
      <c r="E207" s="4"/>
      <c r="F207" s="4"/>
    </row>
    <row r="208" spans="1:6" x14ac:dyDescent="0.25">
      <c r="A208" s="17" t="s">
        <v>597</v>
      </c>
      <c r="B208" s="4" t="s">
        <v>1167</v>
      </c>
      <c r="C208" s="4" t="s">
        <v>184</v>
      </c>
      <c r="D208" s="5" t="s">
        <v>848</v>
      </c>
      <c r="E208" s="4" t="s">
        <v>1168</v>
      </c>
      <c r="F208" s="4"/>
    </row>
    <row r="209" spans="1:6" x14ac:dyDescent="0.25">
      <c r="A209" s="17" t="s">
        <v>597</v>
      </c>
      <c r="B209" s="4" t="s">
        <v>966</v>
      </c>
      <c r="C209" s="4" t="s">
        <v>847</v>
      </c>
      <c r="D209" s="5" t="s">
        <v>1104</v>
      </c>
      <c r="E209" s="4"/>
      <c r="F209" s="4" t="s">
        <v>1169</v>
      </c>
    </row>
  </sheetData>
  <autoFilter ref="A3:F209"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6"/>
  <sheetViews>
    <sheetView workbookViewId="0">
      <pane xSplit="1" ySplit="3" topLeftCell="B4" activePane="bottomRight" state="frozen"/>
      <selection pane="topRight"/>
      <selection pane="bottomLeft"/>
      <selection pane="bottomRight"/>
    </sheetView>
  </sheetViews>
  <sheetFormatPr defaultRowHeight="15" x14ac:dyDescent="0.25"/>
  <cols>
    <col min="1" max="1" width="36" customWidth="1"/>
    <col min="2" max="2" width="16" customWidth="1"/>
    <col min="3" max="3" width="22" customWidth="1"/>
    <col min="4" max="4" width="26" customWidth="1"/>
    <col min="5" max="5" width="16" customWidth="1"/>
    <col min="6" max="6" width="14" customWidth="1"/>
    <col min="7" max="7" width="16" customWidth="1"/>
  </cols>
  <sheetData>
    <row r="1" spans="1:7" ht="18.75" x14ac:dyDescent="0.3">
      <c r="A1" s="1" t="s">
        <v>1170</v>
      </c>
    </row>
    <row r="2" spans="1:7" x14ac:dyDescent="0.25">
      <c r="A2" s="2" t="s">
        <v>1171</v>
      </c>
    </row>
    <row r="3" spans="1:7" ht="32.1" customHeight="1" x14ac:dyDescent="0.25">
      <c r="A3" s="3" t="s">
        <v>1172</v>
      </c>
      <c r="B3" s="3" t="s">
        <v>1173</v>
      </c>
      <c r="C3" s="3" t="s">
        <v>1174</v>
      </c>
      <c r="D3" s="3" t="s">
        <v>1175</v>
      </c>
      <c r="E3" s="3" t="s">
        <v>1176</v>
      </c>
      <c r="F3" s="3" t="s">
        <v>711</v>
      </c>
      <c r="G3" s="3" t="s">
        <v>1177</v>
      </c>
    </row>
    <row r="4" spans="1:7" x14ac:dyDescent="0.25">
      <c r="A4" s="4" t="s">
        <v>1178</v>
      </c>
      <c r="B4" s="18" t="s">
        <v>1179</v>
      </c>
      <c r="C4" s="19" t="s">
        <v>1180</v>
      </c>
      <c r="D4" s="19" t="s">
        <v>1180</v>
      </c>
      <c r="E4" s="19" t="s">
        <v>1180</v>
      </c>
      <c r="F4" s="19" t="s">
        <v>1180</v>
      </c>
      <c r="G4" s="19" t="s">
        <v>1180</v>
      </c>
    </row>
    <row r="5" spans="1:7" x14ac:dyDescent="0.25">
      <c r="A5" s="4" t="s">
        <v>149</v>
      </c>
      <c r="B5" s="18" t="s">
        <v>1179</v>
      </c>
      <c r="C5" s="10" t="s">
        <v>366</v>
      </c>
      <c r="D5" s="19" t="s">
        <v>1180</v>
      </c>
      <c r="E5" s="19" t="s">
        <v>1180</v>
      </c>
      <c r="F5" s="19" t="s">
        <v>1180</v>
      </c>
      <c r="G5" s="19" t="s">
        <v>1180</v>
      </c>
    </row>
    <row r="6" spans="1:7" x14ac:dyDescent="0.25">
      <c r="A6" s="4" t="s">
        <v>1181</v>
      </c>
      <c r="B6" s="18" t="s">
        <v>1179</v>
      </c>
      <c r="C6" s="18" t="s">
        <v>1179</v>
      </c>
      <c r="D6" s="19" t="s">
        <v>1180</v>
      </c>
      <c r="E6" s="19" t="s">
        <v>1180</v>
      </c>
      <c r="F6" s="19" t="s">
        <v>1180</v>
      </c>
      <c r="G6" s="10" t="s">
        <v>366</v>
      </c>
    </row>
    <row r="7" spans="1:7" ht="30" x14ac:dyDescent="0.25">
      <c r="A7" s="4" t="s">
        <v>1182</v>
      </c>
      <c r="B7" s="18" t="s">
        <v>1179</v>
      </c>
      <c r="C7" s="18" t="s">
        <v>1179</v>
      </c>
      <c r="D7" s="5" t="s">
        <v>1183</v>
      </c>
      <c r="E7" s="5" t="s">
        <v>1183</v>
      </c>
      <c r="F7" s="19" t="s">
        <v>1180</v>
      </c>
      <c r="G7" s="10" t="s">
        <v>366</v>
      </c>
    </row>
    <row r="8" spans="1:7" x14ac:dyDescent="0.25">
      <c r="A8" s="4" t="s">
        <v>1184</v>
      </c>
      <c r="B8" s="20" t="s">
        <v>1185</v>
      </c>
      <c r="C8" s="20" t="s">
        <v>1185</v>
      </c>
      <c r="D8" s="19" t="s">
        <v>1180</v>
      </c>
      <c r="E8" s="19" t="s">
        <v>1180</v>
      </c>
      <c r="F8" s="19" t="s">
        <v>1180</v>
      </c>
      <c r="G8" s="19" t="s">
        <v>1180</v>
      </c>
    </row>
    <row r="9" spans="1:7" x14ac:dyDescent="0.25">
      <c r="A9" s="4" t="s">
        <v>1186</v>
      </c>
      <c r="B9" s="18" t="s">
        <v>1179</v>
      </c>
      <c r="C9" s="18" t="s">
        <v>1179</v>
      </c>
      <c r="D9" s="18" t="s">
        <v>1187</v>
      </c>
      <c r="E9" s="18" t="s">
        <v>1179</v>
      </c>
      <c r="F9" s="19" t="s">
        <v>1180</v>
      </c>
      <c r="G9" s="10" t="s">
        <v>366</v>
      </c>
    </row>
    <row r="10" spans="1:7" x14ac:dyDescent="0.25">
      <c r="A10" s="4" t="s">
        <v>1188</v>
      </c>
      <c r="B10" s="20" t="s">
        <v>1185</v>
      </c>
      <c r="C10" s="20" t="s">
        <v>1185</v>
      </c>
      <c r="D10" s="19" t="s">
        <v>1180</v>
      </c>
      <c r="E10" s="19" t="s">
        <v>1180</v>
      </c>
      <c r="F10" s="19" t="s">
        <v>1180</v>
      </c>
      <c r="G10" s="19" t="s">
        <v>1180</v>
      </c>
    </row>
    <row r="11" spans="1:7" x14ac:dyDescent="0.25">
      <c r="A11" s="4" t="s">
        <v>1189</v>
      </c>
      <c r="B11" s="10" t="s">
        <v>366</v>
      </c>
      <c r="C11" s="10" t="s">
        <v>366</v>
      </c>
      <c r="D11" s="10" t="s">
        <v>1190</v>
      </c>
      <c r="E11" s="10" t="s">
        <v>366</v>
      </c>
      <c r="F11" s="19" t="s">
        <v>1180</v>
      </c>
      <c r="G11" s="10" t="s">
        <v>366</v>
      </c>
    </row>
    <row r="12" spans="1:7" x14ac:dyDescent="0.25">
      <c r="A12" s="4" t="s">
        <v>379</v>
      </c>
      <c r="B12" s="18" t="s">
        <v>1179</v>
      </c>
      <c r="C12" s="10" t="s">
        <v>366</v>
      </c>
      <c r="D12" s="18" t="s">
        <v>1179</v>
      </c>
      <c r="E12" s="18" t="s">
        <v>1179</v>
      </c>
      <c r="F12" s="19" t="s">
        <v>1180</v>
      </c>
      <c r="G12" s="10" t="s">
        <v>366</v>
      </c>
    </row>
    <row r="13" spans="1:7" x14ac:dyDescent="0.25">
      <c r="A13" s="4" t="s">
        <v>448</v>
      </c>
      <c r="B13" s="18" t="s">
        <v>1179</v>
      </c>
      <c r="C13" s="10" t="s">
        <v>366</v>
      </c>
      <c r="D13" s="19" t="s">
        <v>1180</v>
      </c>
      <c r="E13" s="18" t="s">
        <v>1179</v>
      </c>
      <c r="F13" s="10" t="s">
        <v>366</v>
      </c>
      <c r="G13" s="10" t="s">
        <v>366</v>
      </c>
    </row>
    <row r="14" spans="1:7" x14ac:dyDescent="0.25">
      <c r="A14" s="4" t="s">
        <v>1191</v>
      </c>
      <c r="B14" s="18" t="s">
        <v>1179</v>
      </c>
      <c r="C14" s="10" t="s">
        <v>366</v>
      </c>
      <c r="D14" s="18" t="s">
        <v>1187</v>
      </c>
      <c r="E14" s="18" t="s">
        <v>1179</v>
      </c>
      <c r="F14" s="10" t="s">
        <v>366</v>
      </c>
      <c r="G14" s="10" t="s">
        <v>366</v>
      </c>
    </row>
    <row r="15" spans="1:7" ht="30" x14ac:dyDescent="0.25">
      <c r="A15" s="4" t="s">
        <v>1192</v>
      </c>
      <c r="B15" s="18" t="s">
        <v>1179</v>
      </c>
      <c r="C15" s="18" t="s">
        <v>1193</v>
      </c>
      <c r="D15" s="18" t="s">
        <v>1194</v>
      </c>
      <c r="E15" s="18" t="s">
        <v>1179</v>
      </c>
      <c r="F15" s="19" t="s">
        <v>1180</v>
      </c>
      <c r="G15" s="10" t="s">
        <v>366</v>
      </c>
    </row>
    <row r="16" spans="1:7" x14ac:dyDescent="0.25">
      <c r="A16" s="4" t="s">
        <v>1195</v>
      </c>
      <c r="B16" s="18" t="s">
        <v>1179</v>
      </c>
      <c r="C16" s="19" t="s">
        <v>1180</v>
      </c>
      <c r="D16" s="18" t="s">
        <v>1187</v>
      </c>
      <c r="E16" s="18" t="s">
        <v>1179</v>
      </c>
      <c r="F16" s="18" t="s">
        <v>1179</v>
      </c>
      <c r="G16" s="19" t="s">
        <v>1180</v>
      </c>
    </row>
    <row r="17" spans="1:7" ht="30" x14ac:dyDescent="0.25">
      <c r="A17" s="4" t="s">
        <v>1196</v>
      </c>
      <c r="B17" s="18" t="s">
        <v>1179</v>
      </c>
      <c r="C17" s="18" t="s">
        <v>1197</v>
      </c>
      <c r="D17" s="10" t="s">
        <v>1198</v>
      </c>
      <c r="E17" s="18" t="s">
        <v>1179</v>
      </c>
      <c r="F17" s="10" t="s">
        <v>366</v>
      </c>
      <c r="G17" s="10" t="s">
        <v>366</v>
      </c>
    </row>
    <row r="18" spans="1:7" x14ac:dyDescent="0.25">
      <c r="A18" s="4" t="s">
        <v>1199</v>
      </c>
      <c r="B18" s="18" t="s">
        <v>1179</v>
      </c>
      <c r="C18" s="19" t="s">
        <v>1180</v>
      </c>
      <c r="D18" s="19" t="s">
        <v>1180</v>
      </c>
      <c r="E18" s="18" t="s">
        <v>1179</v>
      </c>
      <c r="F18" s="18" t="s">
        <v>1179</v>
      </c>
      <c r="G18" s="19" t="s">
        <v>1180</v>
      </c>
    </row>
    <row r="19" spans="1:7" x14ac:dyDescent="0.25">
      <c r="A19" s="4" t="s">
        <v>1200</v>
      </c>
      <c r="B19" s="18" t="s">
        <v>1179</v>
      </c>
      <c r="C19" s="10" t="s">
        <v>366</v>
      </c>
      <c r="D19" s="10" t="s">
        <v>366</v>
      </c>
      <c r="E19" s="10" t="s">
        <v>366</v>
      </c>
      <c r="F19" s="18" t="s">
        <v>1179</v>
      </c>
      <c r="G19" s="10" t="s">
        <v>366</v>
      </c>
    </row>
    <row r="20" spans="1:7" x14ac:dyDescent="0.25">
      <c r="A20" s="4" t="s">
        <v>1201</v>
      </c>
      <c r="B20" s="18" t="s">
        <v>1179</v>
      </c>
      <c r="C20" s="10" t="s">
        <v>366</v>
      </c>
      <c r="D20" s="19" t="s">
        <v>1180</v>
      </c>
      <c r="E20" s="19" t="s">
        <v>1180</v>
      </c>
      <c r="F20" s="18" t="s">
        <v>1179</v>
      </c>
      <c r="G20" s="10" t="s">
        <v>366</v>
      </c>
    </row>
    <row r="21" spans="1:7" x14ac:dyDescent="0.25">
      <c r="A21" s="4" t="s">
        <v>1202</v>
      </c>
      <c r="B21" s="10" t="s">
        <v>366</v>
      </c>
      <c r="C21" s="10" t="s">
        <v>366</v>
      </c>
      <c r="D21" s="10" t="s">
        <v>366</v>
      </c>
      <c r="E21" s="10" t="s">
        <v>366</v>
      </c>
      <c r="F21" s="10" t="s">
        <v>366</v>
      </c>
      <c r="G21" s="10" t="s">
        <v>366</v>
      </c>
    </row>
    <row r="22" spans="1:7" x14ac:dyDescent="0.25">
      <c r="A22" s="4" t="s">
        <v>1203</v>
      </c>
      <c r="B22" s="18" t="s">
        <v>1179</v>
      </c>
      <c r="C22" s="18" t="s">
        <v>1179</v>
      </c>
      <c r="D22" s="19" t="s">
        <v>1180</v>
      </c>
      <c r="E22" s="10" t="s">
        <v>366</v>
      </c>
      <c r="F22" s="19" t="s">
        <v>1180</v>
      </c>
      <c r="G22" s="10" t="s">
        <v>366</v>
      </c>
    </row>
    <row r="23" spans="1:7" x14ac:dyDescent="0.25">
      <c r="A23" s="4" t="s">
        <v>1204</v>
      </c>
      <c r="B23" s="18" t="s">
        <v>1179</v>
      </c>
      <c r="C23" s="18" t="s">
        <v>1179</v>
      </c>
      <c r="D23" s="19" t="s">
        <v>1180</v>
      </c>
      <c r="E23" s="19" t="s">
        <v>1180</v>
      </c>
      <c r="F23" s="19" t="s">
        <v>1180</v>
      </c>
      <c r="G23" s="19" t="s">
        <v>1180</v>
      </c>
    </row>
    <row r="24" spans="1:7" x14ac:dyDescent="0.25">
      <c r="A24" s="4" t="s">
        <v>1205</v>
      </c>
      <c r="B24" s="20" t="s">
        <v>1185</v>
      </c>
      <c r="C24" s="20" t="s">
        <v>1206</v>
      </c>
      <c r="D24" s="5" t="s">
        <v>1207</v>
      </c>
      <c r="E24" s="5" t="s">
        <v>1207</v>
      </c>
      <c r="F24" s="5" t="s">
        <v>1207</v>
      </c>
      <c r="G24" s="19" t="s">
        <v>1180</v>
      </c>
    </row>
    <row r="25" spans="1:7" x14ac:dyDescent="0.25">
      <c r="A25" s="4" t="s">
        <v>1208</v>
      </c>
      <c r="B25" s="18" t="s">
        <v>1179</v>
      </c>
      <c r="C25" s="19" t="s">
        <v>1180</v>
      </c>
      <c r="D25" s="19" t="s">
        <v>1180</v>
      </c>
      <c r="E25" s="19" t="s">
        <v>1180</v>
      </c>
      <c r="F25" s="19" t="s">
        <v>1180</v>
      </c>
      <c r="G25" s="19" t="s">
        <v>1180</v>
      </c>
    </row>
    <row r="26" spans="1:7" x14ac:dyDescent="0.25">
      <c r="A26" s="4" t="s">
        <v>756</v>
      </c>
      <c r="B26" s="10" t="s">
        <v>1209</v>
      </c>
      <c r="C26" s="5" t="s">
        <v>1210</v>
      </c>
      <c r="D26" s="5" t="s">
        <v>1211</v>
      </c>
      <c r="E26" s="5" t="s">
        <v>1212</v>
      </c>
      <c r="F26" s="5" t="s">
        <v>1213</v>
      </c>
      <c r="G26" s="10" t="s">
        <v>1209</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heetViews>
  <sheetFormatPr defaultRowHeight="15" x14ac:dyDescent="0.25"/>
  <cols>
    <col min="1" max="1" width="26" customWidth="1"/>
    <col min="2" max="2" width="10" customWidth="1"/>
    <col min="3" max="3" width="13" customWidth="1"/>
    <col min="4" max="4" width="15" customWidth="1"/>
    <col min="5" max="5" width="13" customWidth="1"/>
    <col min="6" max="6" width="14" customWidth="1"/>
  </cols>
  <sheetData>
    <row r="1" spans="1:6" ht="18.75" x14ac:dyDescent="0.3">
      <c r="A1" s="1" t="s">
        <v>1214</v>
      </c>
    </row>
    <row r="3" spans="1:6" ht="32.1" customHeight="1" x14ac:dyDescent="0.25">
      <c r="A3" s="3" t="s">
        <v>22</v>
      </c>
      <c r="B3" s="3" t="s">
        <v>1215</v>
      </c>
      <c r="C3" s="3" t="s">
        <v>1216</v>
      </c>
      <c r="D3" s="3" t="s">
        <v>1217</v>
      </c>
      <c r="E3" s="3" t="s">
        <v>1218</v>
      </c>
      <c r="F3" s="3" t="s">
        <v>1219</v>
      </c>
    </row>
    <row r="4" spans="1:6" x14ac:dyDescent="0.25">
      <c r="A4" s="21" t="s">
        <v>38</v>
      </c>
      <c r="B4" s="22">
        <f>COUNTIF('Chức năng theo Spec'!$C$5:$C$80,A4)</f>
        <v>14</v>
      </c>
      <c r="C4" s="22">
        <f>COUNTIFS('Chức năng theo Spec'!$C$5:$C$80,A4,'Chức năng theo Spec'!$N$5:$N$80,"Cao")</f>
        <v>10</v>
      </c>
      <c r="D4" s="22">
        <f>COUNTIFS('Chức năng theo Spec'!$C$5:$C$80,A4,'Chức năng theo Spec'!$M$5:$M$80,"Q-*")</f>
        <v>6</v>
      </c>
      <c r="E4" s="22">
        <f>COUNTIFS('Chức năng theo Spec'!$C$5:$C$80,A4,'Chức năng theo Spec'!$Q$5:$Q$80,"Hoàn thành")</f>
        <v>0</v>
      </c>
      <c r="F4" s="23">
        <f t="shared" ref="F4:F9" si="0">IF(B4=0,0,E4/B4)</f>
        <v>0</v>
      </c>
    </row>
    <row r="5" spans="1:6" x14ac:dyDescent="0.25">
      <c r="A5" s="24" t="s">
        <v>155</v>
      </c>
      <c r="B5" s="22">
        <f>COUNTIF('Chức năng theo Spec'!$C$5:$C$80,A5)</f>
        <v>18</v>
      </c>
      <c r="C5" s="22">
        <f>COUNTIFS('Chức năng theo Spec'!$C$5:$C$80,A5,'Chức năng theo Spec'!$N$5:$N$80,"Cao")</f>
        <v>14</v>
      </c>
      <c r="D5" s="22">
        <f>COUNTIFS('Chức năng theo Spec'!$C$5:$C$80,A5,'Chức năng theo Spec'!$M$5:$M$80,"Q-*")</f>
        <v>0</v>
      </c>
      <c r="E5" s="22">
        <f>COUNTIFS('Chức năng theo Spec'!$C$5:$C$80,A5,'Chức năng theo Spec'!$Q$5:$Q$80,"Hoàn thành")</f>
        <v>0</v>
      </c>
      <c r="F5" s="23">
        <f t="shared" si="0"/>
        <v>0</v>
      </c>
    </row>
    <row r="6" spans="1:6" x14ac:dyDescent="0.25">
      <c r="A6" s="25" t="s">
        <v>286</v>
      </c>
      <c r="B6" s="22">
        <f>COUNTIF('Chức năng theo Spec'!$C$5:$C$80,A6)</f>
        <v>23</v>
      </c>
      <c r="C6" s="22">
        <f>COUNTIFS('Chức năng theo Spec'!$C$5:$C$80,A6,'Chức năng theo Spec'!$N$5:$N$80,"Cao")</f>
        <v>20</v>
      </c>
      <c r="D6" s="22">
        <f>COUNTIFS('Chức năng theo Spec'!$C$5:$C$80,A6,'Chức năng theo Spec'!$M$5:$M$80,"Q-*")</f>
        <v>5</v>
      </c>
      <c r="E6" s="22">
        <f>COUNTIFS('Chức năng theo Spec'!$C$5:$C$80,A6,'Chức năng theo Spec'!$Q$5:$Q$80,"Hoàn thành")</f>
        <v>0</v>
      </c>
      <c r="F6" s="23">
        <f t="shared" si="0"/>
        <v>0</v>
      </c>
    </row>
    <row r="7" spans="1:6" x14ac:dyDescent="0.25">
      <c r="A7" s="26" t="s">
        <v>453</v>
      </c>
      <c r="B7" s="22">
        <f>COUNTIF('Chức năng theo Spec'!$C$5:$C$80,A7)</f>
        <v>10</v>
      </c>
      <c r="C7" s="22">
        <f>COUNTIFS('Chức năng theo Spec'!$C$5:$C$80,A7,'Chức năng theo Spec'!$N$5:$N$80,"Cao")</f>
        <v>7</v>
      </c>
      <c r="D7" s="22">
        <f>COUNTIFS('Chức năng theo Spec'!$C$5:$C$80,A7,'Chức năng theo Spec'!$M$5:$M$80,"Q-*")</f>
        <v>1</v>
      </c>
      <c r="E7" s="22">
        <f>COUNTIFS('Chức năng theo Spec'!$C$5:$C$80,A7,'Chức năng theo Spec'!$Q$5:$Q$80,"Hoàn thành")</f>
        <v>0</v>
      </c>
      <c r="F7" s="23">
        <f t="shared" si="0"/>
        <v>0</v>
      </c>
    </row>
    <row r="8" spans="1:6" x14ac:dyDescent="0.25">
      <c r="A8" s="27" t="s">
        <v>527</v>
      </c>
      <c r="B8" s="22">
        <f>COUNTIF('Chức năng theo Spec'!$C$5:$C$80,A8)</f>
        <v>11</v>
      </c>
      <c r="C8" s="22">
        <f>COUNTIFS('Chức năng theo Spec'!$C$5:$C$80,A8,'Chức năng theo Spec'!$N$5:$N$80,"Cao")</f>
        <v>7</v>
      </c>
      <c r="D8" s="22">
        <f>COUNTIFS('Chức năng theo Spec'!$C$5:$C$80,A8,'Chức năng theo Spec'!$M$5:$M$80,"Q-*")</f>
        <v>4</v>
      </c>
      <c r="E8" s="22">
        <f>COUNTIFS('Chức năng theo Spec'!$C$5:$C$80,A8,'Chức năng theo Spec'!$Q$5:$Q$80,"Hoàn thành")</f>
        <v>0</v>
      </c>
      <c r="F8" s="23">
        <f t="shared" si="0"/>
        <v>0</v>
      </c>
    </row>
    <row r="9" spans="1:6" x14ac:dyDescent="0.25">
      <c r="A9" s="28" t="s">
        <v>1220</v>
      </c>
      <c r="B9" s="29">
        <f>SUM(B4:B8)</f>
        <v>76</v>
      </c>
      <c r="C9" s="29">
        <f>SUM(C4:C8)</f>
        <v>58</v>
      </c>
      <c r="D9" s="29">
        <f>SUM(D4:D8)</f>
        <v>16</v>
      </c>
      <c r="E9" s="29">
        <f>SUM(E4:E8)</f>
        <v>0</v>
      </c>
      <c r="F9" s="30">
        <f t="shared" si="0"/>
        <v>0</v>
      </c>
    </row>
    <row r="11" spans="1:6" ht="32.1" customHeight="1" x14ac:dyDescent="0.25">
      <c r="A11" s="3" t="s">
        <v>1221</v>
      </c>
      <c r="B11" s="3" t="s">
        <v>1222</v>
      </c>
    </row>
    <row r="12" spans="1:6" x14ac:dyDescent="0.25">
      <c r="A12" s="31" t="s">
        <v>1223</v>
      </c>
      <c r="B12" s="31">
        <f>COUNTIF('Quyết định đã chốt'!$H$4:$H$36,"Chờ xác nhận")</f>
        <v>33</v>
      </c>
    </row>
    <row r="13" spans="1:6" x14ac:dyDescent="0.25">
      <c r="A13" s="31" t="s">
        <v>1224</v>
      </c>
      <c r="B13" s="31">
        <f>COUNTIF('Quyết định đã chốt'!$H$4:$H$36,"Đồng ý")</f>
        <v>0</v>
      </c>
    </row>
    <row r="14" spans="1:6" x14ac:dyDescent="0.25">
      <c r="A14" s="31" t="s">
        <v>1225</v>
      </c>
      <c r="B14" s="31">
        <f>COUNTIF('Quyết định đã chốt'!$H$4:$H$36,"Cần sửa")</f>
        <v>0</v>
      </c>
    </row>
    <row r="15" spans="1:6" x14ac:dyDescent="0.25">
      <c r="A15" s="31" t="s">
        <v>1226</v>
      </c>
      <c r="B15" s="31">
        <f>COUNTIF('Câu hỏi cần trả lời'!$H$4:$H$11,"Chưa trả lời")</f>
        <v>8</v>
      </c>
    </row>
    <row r="16" spans="1:6" x14ac:dyDescent="0.25">
      <c r="A16" s="31" t="s">
        <v>1227</v>
      </c>
      <c r="B16" s="31">
        <f>COUNTIF('Câu hỏi cần trả lời'!$H$4:$H$11,"Đã trả lời")</f>
        <v>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Hướng dẫn</vt:lpstr>
      <vt:lpstr>Chức năng theo Spec</vt:lpstr>
      <vt:lpstr>Quyết định đã chốt</vt:lpstr>
      <vt:lpstr>Câu hỏi cần trả lời</vt:lpstr>
      <vt:lpstr>Trường dữ liệu</vt:lpstr>
      <vt:lpstr>Ma trận quyền</vt:lpstr>
      <vt:lpstr>Tổng hợp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2026-10-18T09:11:07Z</dcterms:created>
  <dcterms:modified xsi:type="dcterms:W3CDTF">2026-10-18T09:11:22Z</dcterms:modified>
  <cp:category/>
</cp:coreProperties>
</file>