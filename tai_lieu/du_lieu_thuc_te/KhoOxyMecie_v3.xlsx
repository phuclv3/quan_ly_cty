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A151C3D-7051-5144-A328-209918CF819C}" xr6:coauthVersionLast="47" xr6:coauthVersionMax="47" xr10:uidLastSave="{00000000-0000-0000-0000-000000000000}"/>
  <bookViews>
    <workbookView xWindow="6900" yWindow="500" windowWidth="22460" windowHeight="13480" tabRatio="500" activeTab="7" xr2:uid="{00000000-000D-0000-FFFF-FFFF00000000}"/>
  </bookViews>
  <sheets>
    <sheet name="0. Hướng dẫn" sheetId="1" r:id="rId1"/>
    <sheet name="DM. Mã hàng" sheetId="2" r:id="rId2"/>
    <sheet name="DM. Hợp đồng bán" sheetId="3" r:id="rId3"/>
    <sheet name="1. NhapKho" sheetId="4" r:id="rId4"/>
    <sheet name="2. XuatKho" sheetId="5" r:id="rId5"/>
    <sheet name="3. TonTheoLo" sheetId="6" r:id="rId6"/>
    <sheet name="3b. TonTheoMaHang" sheetId="7" r:id="rId7"/>
    <sheet name="4. TheoHopDong" sheetId="8" r:id="rId8"/>
    <sheet name="5. AnhXaTenBan" sheetId="9" r:id="rId9"/>
    <sheet name="6. KiemKe" sheetId="10" r:id="rId10"/>
  </sheets>
  <definedNames>
    <definedName name="_xlnm._FilterDatabase" localSheetId="3" hidden="1">'1. NhapKho'!$A$4:$L$351</definedName>
    <definedName name="_xlnm._FilterDatabase" localSheetId="4" hidden="1">'2. XuatKho'!$A$4:$K$254</definedName>
    <definedName name="_xlnm._FilterDatabase" localSheetId="5" hidden="1">'3. TonTheoLo'!$A$4:$K$51</definedName>
    <definedName name="_xlnm._FilterDatabase" localSheetId="6" hidden="1">'3b. TonTheoMaHang'!$A$4:$I$108</definedName>
    <definedName name="_xlnm._FilterDatabase" localSheetId="7" hidden="1">'4. TheoHopDong'!$A$4:$D$134</definedName>
    <definedName name="_xlnm._FilterDatabase" localSheetId="8" hidden="1">'5. AnhXaTenBan'!$A$4:$H$274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136" i="8" s="1"/>
  <c r="F33" i="10"/>
  <c r="D134" i="8"/>
  <c r="C134" i="8"/>
  <c r="B134" i="8"/>
  <c r="D133" i="8"/>
  <c r="C133" i="8"/>
  <c r="B133" i="8"/>
  <c r="D132" i="8"/>
  <c r="C132" i="8"/>
  <c r="B132" i="8"/>
  <c r="D131" i="8"/>
  <c r="C131" i="8"/>
  <c r="B131" i="8"/>
  <c r="D130" i="8"/>
  <c r="C130" i="8"/>
  <c r="B130" i="8"/>
  <c r="D129" i="8"/>
  <c r="C129" i="8"/>
  <c r="B129" i="8"/>
  <c r="D128" i="8"/>
  <c r="C128" i="8"/>
  <c r="B128" i="8"/>
  <c r="D127" i="8"/>
  <c r="C127" i="8"/>
  <c r="B127" i="8"/>
  <c r="D126" i="8"/>
  <c r="C126" i="8"/>
  <c r="B126" i="8"/>
  <c r="D125" i="8"/>
  <c r="C125" i="8"/>
  <c r="B125" i="8"/>
  <c r="D124" i="8"/>
  <c r="C124" i="8"/>
  <c r="B124" i="8"/>
  <c r="D123" i="8"/>
  <c r="C123" i="8"/>
  <c r="B123" i="8"/>
  <c r="D122" i="8"/>
  <c r="C122" i="8"/>
  <c r="B122" i="8"/>
  <c r="D121" i="8"/>
  <c r="C121" i="8"/>
  <c r="B121" i="8"/>
  <c r="D120" i="8"/>
  <c r="C120" i="8"/>
  <c r="B120" i="8"/>
  <c r="D119" i="8"/>
  <c r="C119" i="8"/>
  <c r="B119" i="8"/>
  <c r="D118" i="8"/>
  <c r="C118" i="8"/>
  <c r="B118" i="8"/>
  <c r="D117" i="8"/>
  <c r="C117" i="8"/>
  <c r="B117" i="8"/>
  <c r="D116" i="8"/>
  <c r="C116" i="8"/>
  <c r="B116" i="8"/>
  <c r="D115" i="8"/>
  <c r="C115" i="8"/>
  <c r="B115" i="8"/>
  <c r="D114" i="8"/>
  <c r="C114" i="8"/>
  <c r="B114" i="8"/>
  <c r="D113" i="8"/>
  <c r="C113" i="8"/>
  <c r="B113" i="8"/>
  <c r="D112" i="8"/>
  <c r="C112" i="8"/>
  <c r="B112" i="8"/>
  <c r="D111" i="8"/>
  <c r="C111" i="8"/>
  <c r="B111" i="8"/>
  <c r="D110" i="8"/>
  <c r="C110" i="8"/>
  <c r="B110" i="8"/>
  <c r="D109" i="8"/>
  <c r="C109" i="8"/>
  <c r="B109" i="8"/>
  <c r="D108" i="8"/>
  <c r="C108" i="8"/>
  <c r="B108" i="8"/>
  <c r="D107" i="8"/>
  <c r="C107" i="8"/>
  <c r="B107" i="8"/>
  <c r="D106" i="8"/>
  <c r="C106" i="8"/>
  <c r="B106" i="8"/>
  <c r="D105" i="8"/>
  <c r="C105" i="8"/>
  <c r="B105" i="8"/>
  <c r="D104" i="8"/>
  <c r="C104" i="8"/>
  <c r="B104" i="8"/>
  <c r="D103" i="8"/>
  <c r="C103" i="8"/>
  <c r="B103" i="8"/>
  <c r="D102" i="8"/>
  <c r="C102" i="8"/>
  <c r="B102" i="8"/>
  <c r="D101" i="8"/>
  <c r="C101" i="8"/>
  <c r="B101" i="8"/>
  <c r="D100" i="8"/>
  <c r="C100" i="8"/>
  <c r="B100" i="8"/>
  <c r="D99" i="8"/>
  <c r="C99" i="8"/>
  <c r="B99" i="8"/>
  <c r="D98" i="8"/>
  <c r="C98" i="8"/>
  <c r="B98" i="8"/>
  <c r="D97" i="8"/>
  <c r="C97" i="8"/>
  <c r="B97" i="8"/>
  <c r="D96" i="8"/>
  <c r="C96" i="8"/>
  <c r="B96" i="8"/>
  <c r="D95" i="8"/>
  <c r="C95" i="8"/>
  <c r="B95" i="8"/>
  <c r="D94" i="8"/>
  <c r="C94" i="8"/>
  <c r="B94" i="8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D136" i="8" s="1"/>
  <c r="C5" i="8"/>
  <c r="C136" i="8" s="1"/>
  <c r="H112" i="7"/>
  <c r="G110" i="7"/>
  <c r="F110" i="7"/>
  <c r="I110" i="7" s="1"/>
  <c r="E110" i="7"/>
  <c r="D110" i="7"/>
  <c r="G109" i="7"/>
  <c r="F109" i="7"/>
  <c r="I109" i="7" s="1"/>
  <c r="E109" i="7"/>
  <c r="D109" i="7"/>
  <c r="G107" i="7"/>
  <c r="F107" i="7"/>
  <c r="I107" i="7" s="1"/>
  <c r="E107" i="7"/>
  <c r="D107" i="7"/>
  <c r="G103" i="7"/>
  <c r="F103" i="7"/>
  <c r="I103" i="7" s="1"/>
  <c r="E103" i="7"/>
  <c r="D103" i="7"/>
  <c r="G102" i="7"/>
  <c r="F102" i="7"/>
  <c r="I102" i="7" s="1"/>
  <c r="E102" i="7"/>
  <c r="D102" i="7"/>
  <c r="G101" i="7"/>
  <c r="F101" i="7"/>
  <c r="I101" i="7" s="1"/>
  <c r="E101" i="7"/>
  <c r="D101" i="7"/>
  <c r="I100" i="7"/>
  <c r="G100" i="7"/>
  <c r="F100" i="7"/>
  <c r="E100" i="7"/>
  <c r="D100" i="7"/>
  <c r="G99" i="7"/>
  <c r="F99" i="7"/>
  <c r="I99" i="7" s="1"/>
  <c r="E99" i="7"/>
  <c r="D99" i="7"/>
  <c r="I98" i="7"/>
  <c r="G98" i="7"/>
  <c r="F98" i="7"/>
  <c r="E98" i="7"/>
  <c r="D98" i="7"/>
  <c r="I97" i="7"/>
  <c r="G97" i="7"/>
  <c r="F97" i="7"/>
  <c r="E97" i="7"/>
  <c r="D97" i="7"/>
  <c r="G96" i="7"/>
  <c r="F96" i="7"/>
  <c r="I96" i="7" s="1"/>
  <c r="E96" i="7"/>
  <c r="D96" i="7"/>
  <c r="I95" i="7"/>
  <c r="G95" i="7"/>
  <c r="F95" i="7"/>
  <c r="E95" i="7"/>
  <c r="D95" i="7"/>
  <c r="G94" i="7"/>
  <c r="F94" i="7"/>
  <c r="I94" i="7" s="1"/>
  <c r="E94" i="7"/>
  <c r="D94" i="7"/>
  <c r="G93" i="7"/>
  <c r="F93" i="7"/>
  <c r="I93" i="7" s="1"/>
  <c r="E93" i="7"/>
  <c r="D93" i="7"/>
  <c r="I92" i="7"/>
  <c r="G92" i="7"/>
  <c r="F92" i="7"/>
  <c r="E92" i="7"/>
  <c r="D92" i="7"/>
  <c r="G91" i="7"/>
  <c r="F91" i="7"/>
  <c r="I91" i="7" s="1"/>
  <c r="E91" i="7"/>
  <c r="D91" i="7"/>
  <c r="G90" i="7"/>
  <c r="F90" i="7"/>
  <c r="I90" i="7" s="1"/>
  <c r="E90" i="7"/>
  <c r="D90" i="7"/>
  <c r="I89" i="7"/>
  <c r="G89" i="7"/>
  <c r="F89" i="7"/>
  <c r="E89" i="7"/>
  <c r="D89" i="7"/>
  <c r="G88" i="7"/>
  <c r="F88" i="7"/>
  <c r="I88" i="7" s="1"/>
  <c r="E88" i="7"/>
  <c r="D88" i="7"/>
  <c r="I84" i="7"/>
  <c r="G84" i="7"/>
  <c r="F84" i="7"/>
  <c r="E84" i="7"/>
  <c r="D84" i="7"/>
  <c r="G83" i="7"/>
  <c r="F83" i="7"/>
  <c r="I83" i="7" s="1"/>
  <c r="E83" i="7"/>
  <c r="D83" i="7"/>
  <c r="G82" i="7"/>
  <c r="F82" i="7"/>
  <c r="I82" i="7" s="1"/>
  <c r="E82" i="7"/>
  <c r="D82" i="7"/>
  <c r="I81" i="7"/>
  <c r="G81" i="7"/>
  <c r="F81" i="7"/>
  <c r="E81" i="7"/>
  <c r="D81" i="7"/>
  <c r="I76" i="7"/>
  <c r="G76" i="7"/>
  <c r="F76" i="7"/>
  <c r="E76" i="7"/>
  <c r="D76" i="7"/>
  <c r="G75" i="7"/>
  <c r="F75" i="7"/>
  <c r="I75" i="7" s="1"/>
  <c r="E75" i="7"/>
  <c r="D75" i="7"/>
  <c r="G74" i="7"/>
  <c r="F74" i="7"/>
  <c r="I74" i="7" s="1"/>
  <c r="E74" i="7"/>
  <c r="D74" i="7"/>
  <c r="I73" i="7"/>
  <c r="G73" i="7"/>
  <c r="F73" i="7"/>
  <c r="E73" i="7"/>
  <c r="D73" i="7"/>
  <c r="G72" i="7"/>
  <c r="F72" i="7"/>
  <c r="I72" i="7" s="1"/>
  <c r="E72" i="7"/>
  <c r="D72" i="7"/>
  <c r="G69" i="7"/>
  <c r="F69" i="7"/>
  <c r="I69" i="7" s="1"/>
  <c r="E69" i="7"/>
  <c r="D69" i="7"/>
  <c r="I68" i="7"/>
  <c r="G68" i="7"/>
  <c r="F68" i="7"/>
  <c r="E68" i="7"/>
  <c r="D68" i="7"/>
  <c r="G66" i="7"/>
  <c r="F66" i="7"/>
  <c r="I66" i="7" s="1"/>
  <c r="E66" i="7"/>
  <c r="D66" i="7"/>
  <c r="I65" i="7"/>
  <c r="G65" i="7"/>
  <c r="F65" i="7"/>
  <c r="E65" i="7"/>
  <c r="D65" i="7"/>
  <c r="G64" i="7"/>
  <c r="F64" i="7"/>
  <c r="I64" i="7" s="1"/>
  <c r="E64" i="7"/>
  <c r="D64" i="7"/>
  <c r="G61" i="7"/>
  <c r="F61" i="7"/>
  <c r="I61" i="7" s="1"/>
  <c r="E61" i="7"/>
  <c r="D61" i="7"/>
  <c r="G59" i="7"/>
  <c r="F59" i="7"/>
  <c r="I59" i="7" s="1"/>
  <c r="E59" i="7"/>
  <c r="D59" i="7"/>
  <c r="G58" i="7"/>
  <c r="F58" i="7"/>
  <c r="I58" i="7" s="1"/>
  <c r="E58" i="7"/>
  <c r="D58" i="7"/>
  <c r="I57" i="7"/>
  <c r="G57" i="7"/>
  <c r="F57" i="7"/>
  <c r="E57" i="7"/>
  <c r="D57" i="7"/>
  <c r="I55" i="7"/>
  <c r="G55" i="7"/>
  <c r="F55" i="7"/>
  <c r="E55" i="7"/>
  <c r="D55" i="7"/>
  <c r="G53" i="7"/>
  <c r="F53" i="7"/>
  <c r="I53" i="7" s="1"/>
  <c r="E53" i="7"/>
  <c r="D53" i="7"/>
  <c r="G51" i="7"/>
  <c r="F51" i="7"/>
  <c r="I51" i="7" s="1"/>
  <c r="E51" i="7"/>
  <c r="D51" i="7"/>
  <c r="I49" i="7"/>
  <c r="G49" i="7"/>
  <c r="F49" i="7"/>
  <c r="E49" i="7"/>
  <c r="D49" i="7"/>
  <c r="I46" i="7"/>
  <c r="G46" i="7"/>
  <c r="F46" i="7"/>
  <c r="E46" i="7"/>
  <c r="D46" i="7"/>
  <c r="G45" i="7"/>
  <c r="F45" i="7"/>
  <c r="I45" i="7" s="1"/>
  <c r="E45" i="7"/>
  <c r="D45" i="7"/>
  <c r="I44" i="7"/>
  <c r="G44" i="7"/>
  <c r="F44" i="7"/>
  <c r="E44" i="7"/>
  <c r="D44" i="7"/>
  <c r="G43" i="7"/>
  <c r="F43" i="7"/>
  <c r="I43" i="7" s="1"/>
  <c r="E43" i="7"/>
  <c r="D43" i="7"/>
  <c r="G42" i="7"/>
  <c r="F42" i="7"/>
  <c r="I42" i="7" s="1"/>
  <c r="E42" i="7"/>
  <c r="D42" i="7"/>
  <c r="I41" i="7"/>
  <c r="G41" i="7"/>
  <c r="F41" i="7"/>
  <c r="E41" i="7"/>
  <c r="D41" i="7"/>
  <c r="G40" i="7"/>
  <c r="F40" i="7"/>
  <c r="I40" i="7" s="1"/>
  <c r="E40" i="7"/>
  <c r="D40" i="7"/>
  <c r="G32" i="7"/>
  <c r="F32" i="7"/>
  <c r="I32" i="7" s="1"/>
  <c r="E32" i="7"/>
  <c r="D32" i="7"/>
  <c r="I31" i="7"/>
  <c r="G31" i="7"/>
  <c r="F31" i="7"/>
  <c r="E31" i="7"/>
  <c r="D31" i="7"/>
  <c r="I30" i="7"/>
  <c r="G30" i="7"/>
  <c r="F30" i="7"/>
  <c r="E30" i="7"/>
  <c r="D30" i="7"/>
  <c r="G29" i="7"/>
  <c r="F29" i="7"/>
  <c r="I29" i="7" s="1"/>
  <c r="E29" i="7"/>
  <c r="D29" i="7"/>
  <c r="I28" i="7"/>
  <c r="G28" i="7"/>
  <c r="F28" i="7"/>
  <c r="E28" i="7"/>
  <c r="D28" i="7"/>
  <c r="G27" i="7"/>
  <c r="F27" i="7"/>
  <c r="I27" i="7" s="1"/>
  <c r="E27" i="7"/>
  <c r="D27" i="7"/>
  <c r="I25" i="7"/>
  <c r="G25" i="7"/>
  <c r="F25" i="7"/>
  <c r="E25" i="7"/>
  <c r="D25" i="7"/>
  <c r="G24" i="7"/>
  <c r="F24" i="7"/>
  <c r="I24" i="7" s="1"/>
  <c r="E24" i="7"/>
  <c r="D24" i="7"/>
  <c r="I23" i="7"/>
  <c r="G23" i="7"/>
  <c r="F23" i="7"/>
  <c r="E23" i="7"/>
  <c r="D23" i="7"/>
  <c r="G21" i="7"/>
  <c r="F21" i="7"/>
  <c r="I21" i="7" s="1"/>
  <c r="E21" i="7"/>
  <c r="D21" i="7"/>
  <c r="G19" i="7"/>
  <c r="F19" i="7"/>
  <c r="I19" i="7" s="1"/>
  <c r="E19" i="7"/>
  <c r="D19" i="7"/>
  <c r="D18" i="7"/>
  <c r="I17" i="7"/>
  <c r="G17" i="7"/>
  <c r="F17" i="7"/>
  <c r="E17" i="7"/>
  <c r="D17" i="7"/>
  <c r="G16" i="7"/>
  <c r="F16" i="7"/>
  <c r="I16" i="7" s="1"/>
  <c r="E16" i="7"/>
  <c r="D16" i="7"/>
  <c r="I15" i="7"/>
  <c r="G15" i="7"/>
  <c r="F15" i="7"/>
  <c r="E15" i="7"/>
  <c r="D15" i="7"/>
  <c r="G14" i="7"/>
  <c r="F14" i="7"/>
  <c r="I14" i="7" s="1"/>
  <c r="E14" i="7"/>
  <c r="D14" i="7"/>
  <c r="G13" i="7"/>
  <c r="F13" i="7"/>
  <c r="I13" i="7" s="1"/>
  <c r="E13" i="7"/>
  <c r="D13" i="7"/>
  <c r="I12" i="7"/>
  <c r="G12" i="7"/>
  <c r="F12" i="7"/>
  <c r="E12" i="7"/>
  <c r="D12" i="7"/>
  <c r="G11" i="7"/>
  <c r="F11" i="7"/>
  <c r="I11" i="7" s="1"/>
  <c r="E11" i="7"/>
  <c r="D11" i="7"/>
  <c r="I10" i="7"/>
  <c r="G10" i="7"/>
  <c r="F10" i="7"/>
  <c r="E10" i="7"/>
  <c r="D10" i="7"/>
  <c r="I9" i="7"/>
  <c r="G9" i="7"/>
  <c r="F9" i="7"/>
  <c r="E9" i="7"/>
  <c r="D9" i="7"/>
  <c r="G8" i="7"/>
  <c r="F8" i="7"/>
  <c r="I8" i="7" s="1"/>
  <c r="E8" i="7"/>
  <c r="D8" i="7"/>
  <c r="I7" i="7"/>
  <c r="G7" i="7"/>
  <c r="F7" i="7"/>
  <c r="E7" i="7"/>
  <c r="D7" i="7"/>
  <c r="G6" i="7"/>
  <c r="F6" i="7"/>
  <c r="I6" i="7" s="1"/>
  <c r="E6" i="7"/>
  <c r="D6" i="7"/>
  <c r="G5" i="7"/>
  <c r="F5" i="7"/>
  <c r="E5" i="7"/>
  <c r="D5" i="7"/>
  <c r="I51" i="6"/>
  <c r="G51" i="6"/>
  <c r="H51" i="6" s="1"/>
  <c r="F51" i="6"/>
  <c r="D108" i="7" s="1"/>
  <c r="I50" i="6"/>
  <c r="G50" i="6"/>
  <c r="E106" i="7" s="1"/>
  <c r="F50" i="6"/>
  <c r="H50" i="6" s="1"/>
  <c r="I49" i="6"/>
  <c r="G49" i="6"/>
  <c r="E105" i="7" s="1"/>
  <c r="F49" i="6"/>
  <c r="D105" i="7" s="1"/>
  <c r="I48" i="6"/>
  <c r="G48" i="6"/>
  <c r="E104" i="7" s="1"/>
  <c r="F48" i="6"/>
  <c r="D104" i="7" s="1"/>
  <c r="I47" i="6"/>
  <c r="G47" i="6"/>
  <c r="H47" i="6" s="1"/>
  <c r="F47" i="6"/>
  <c r="I46" i="6"/>
  <c r="G46" i="6"/>
  <c r="E35" i="7" s="1"/>
  <c r="F46" i="6"/>
  <c r="D35" i="7" s="1"/>
  <c r="I45" i="6"/>
  <c r="G45" i="6"/>
  <c r="F45" i="6"/>
  <c r="H45" i="6" s="1"/>
  <c r="I44" i="6"/>
  <c r="G44" i="6"/>
  <c r="H44" i="6" s="1"/>
  <c r="F44" i="6"/>
  <c r="I43" i="6"/>
  <c r="G43" i="6"/>
  <c r="H43" i="6" s="1"/>
  <c r="F43" i="6"/>
  <c r="I42" i="6"/>
  <c r="G42" i="6"/>
  <c r="F42" i="6"/>
  <c r="H42" i="6" s="1"/>
  <c r="I41" i="6"/>
  <c r="G41" i="6"/>
  <c r="E36" i="7" s="1"/>
  <c r="F41" i="6"/>
  <c r="H41" i="6" s="1"/>
  <c r="I40" i="6"/>
  <c r="G40" i="6"/>
  <c r="H40" i="6" s="1"/>
  <c r="F40" i="6"/>
  <c r="I39" i="6"/>
  <c r="G39" i="6"/>
  <c r="E48" i="7" s="1"/>
  <c r="F39" i="6"/>
  <c r="D48" i="7" s="1"/>
  <c r="I38" i="6"/>
  <c r="G38" i="6"/>
  <c r="F38" i="6"/>
  <c r="H38" i="6" s="1"/>
  <c r="I37" i="6"/>
  <c r="G37" i="6"/>
  <c r="E38" i="7" s="1"/>
  <c r="F37" i="6"/>
  <c r="D38" i="7" s="1"/>
  <c r="I36" i="6"/>
  <c r="G36" i="6"/>
  <c r="H36" i="6" s="1"/>
  <c r="F36" i="6"/>
  <c r="I35" i="6"/>
  <c r="G35" i="6"/>
  <c r="H35" i="6" s="1"/>
  <c r="F35" i="6"/>
  <c r="I34" i="6"/>
  <c r="G34" i="6"/>
  <c r="E85" i="7" s="1"/>
  <c r="F34" i="6"/>
  <c r="D85" i="7" s="1"/>
  <c r="I33" i="6"/>
  <c r="G33" i="6"/>
  <c r="E26" i="7" s="1"/>
  <c r="F33" i="6"/>
  <c r="H33" i="6" s="1"/>
  <c r="I32" i="6"/>
  <c r="G32" i="6"/>
  <c r="E67" i="7" s="1"/>
  <c r="F32" i="6"/>
  <c r="D67" i="7" s="1"/>
  <c r="I31" i="6"/>
  <c r="G31" i="6"/>
  <c r="H31" i="6" s="1"/>
  <c r="F31" i="6"/>
  <c r="D77" i="7" s="1"/>
  <c r="I30" i="6"/>
  <c r="G30" i="6"/>
  <c r="E60" i="7" s="1"/>
  <c r="F30" i="6"/>
  <c r="D60" i="7" s="1"/>
  <c r="I29" i="6"/>
  <c r="G29" i="6"/>
  <c r="E52" i="7" s="1"/>
  <c r="F29" i="6"/>
  <c r="H29" i="6" s="1"/>
  <c r="I28" i="6"/>
  <c r="G28" i="6"/>
  <c r="H28" i="6" s="1"/>
  <c r="F28" i="6"/>
  <c r="I27" i="6"/>
  <c r="G27" i="6"/>
  <c r="H27" i="6" s="1"/>
  <c r="F27" i="6"/>
  <c r="I26" i="6"/>
  <c r="G26" i="6"/>
  <c r="E62" i="7" s="1"/>
  <c r="F26" i="6"/>
  <c r="D62" i="7" s="1"/>
  <c r="I25" i="6"/>
  <c r="G25" i="6"/>
  <c r="F25" i="6"/>
  <c r="H25" i="6" s="1"/>
  <c r="I24" i="6"/>
  <c r="G24" i="6"/>
  <c r="H24" i="6" s="1"/>
  <c r="F24" i="6"/>
  <c r="D20" i="7" s="1"/>
  <c r="I23" i="6"/>
  <c r="G23" i="6"/>
  <c r="H23" i="6" s="1"/>
  <c r="F23" i="6"/>
  <c r="D34" i="7" s="1"/>
  <c r="I22" i="6"/>
  <c r="G22" i="6"/>
  <c r="F22" i="6"/>
  <c r="H22" i="6" s="1"/>
  <c r="I21" i="6"/>
  <c r="G21" i="6"/>
  <c r="E87" i="7" s="1"/>
  <c r="F21" i="6"/>
  <c r="H21" i="6" s="1"/>
  <c r="I20" i="6"/>
  <c r="G20" i="6"/>
  <c r="H20" i="6" s="1"/>
  <c r="F20" i="6"/>
  <c r="D47" i="7" s="1"/>
  <c r="I19" i="6"/>
  <c r="G19" i="6"/>
  <c r="H19" i="6" s="1"/>
  <c r="F19" i="6"/>
  <c r="D37" i="7" s="1"/>
  <c r="I18" i="6"/>
  <c r="G18" i="6"/>
  <c r="E54" i="7" s="1"/>
  <c r="F18" i="6"/>
  <c r="D54" i="7" s="1"/>
  <c r="I17" i="6"/>
  <c r="G17" i="6"/>
  <c r="E78" i="7" s="1"/>
  <c r="F17" i="6"/>
  <c r="D78" i="7" s="1"/>
  <c r="I16" i="6"/>
  <c r="G16" i="6"/>
  <c r="E80" i="7" s="1"/>
  <c r="F16" i="6"/>
  <c r="D80" i="7" s="1"/>
  <c r="I15" i="6"/>
  <c r="G15" i="6"/>
  <c r="E56" i="7" s="1"/>
  <c r="F15" i="6"/>
  <c r="D56" i="7" s="1"/>
  <c r="I14" i="6"/>
  <c r="G14" i="6"/>
  <c r="E22" i="7" s="1"/>
  <c r="F14" i="6"/>
  <c r="D22" i="7" s="1"/>
  <c r="I13" i="6"/>
  <c r="G13" i="6"/>
  <c r="E79" i="7" s="1"/>
  <c r="F13" i="6"/>
  <c r="H13" i="6" s="1"/>
  <c r="I12" i="6"/>
  <c r="G12" i="6"/>
  <c r="H12" i="6" s="1"/>
  <c r="F12" i="6"/>
  <c r="D33" i="7" s="1"/>
  <c r="I11" i="6"/>
  <c r="G11" i="6"/>
  <c r="H11" i="6" s="1"/>
  <c r="F11" i="6"/>
  <c r="D63" i="7" s="1"/>
  <c r="I10" i="6"/>
  <c r="G10" i="6"/>
  <c r="E86" i="7" s="1"/>
  <c r="F10" i="6"/>
  <c r="D86" i="7" s="1"/>
  <c r="I9" i="6"/>
  <c r="G9" i="6"/>
  <c r="E70" i="7" s="1"/>
  <c r="F9" i="6"/>
  <c r="D70" i="7" s="1"/>
  <c r="I8" i="6"/>
  <c r="G8" i="6"/>
  <c r="H8" i="6" s="1"/>
  <c r="F8" i="6"/>
  <c r="I7" i="6"/>
  <c r="G7" i="6"/>
  <c r="H7" i="6" s="1"/>
  <c r="F7" i="6"/>
  <c r="D50" i="7" s="1"/>
  <c r="I6" i="6"/>
  <c r="G6" i="6"/>
  <c r="E39" i="7" s="1"/>
  <c r="F6" i="6"/>
  <c r="D39" i="7" s="1"/>
  <c r="I5" i="6"/>
  <c r="G5" i="6"/>
  <c r="G53" i="6" s="1"/>
  <c r="F5" i="6"/>
  <c r="F53" i="6" s="1"/>
  <c r="I256" i="5"/>
  <c r="F256" i="5"/>
  <c r="J254" i="5"/>
  <c r="I254" i="5"/>
  <c r="H254" i="5"/>
  <c r="G254" i="5"/>
  <c r="J253" i="5"/>
  <c r="I253" i="5"/>
  <c r="H253" i="5"/>
  <c r="G253" i="5"/>
  <c r="J252" i="5"/>
  <c r="I252" i="5"/>
  <c r="H252" i="5"/>
  <c r="G252" i="5"/>
  <c r="J251" i="5"/>
  <c r="I251" i="5"/>
  <c r="H251" i="5"/>
  <c r="G251" i="5"/>
  <c r="J250" i="5"/>
  <c r="I250" i="5"/>
  <c r="H250" i="5"/>
  <c r="G250" i="5"/>
  <c r="J249" i="5"/>
  <c r="I249" i="5"/>
  <c r="H249" i="5"/>
  <c r="G249" i="5"/>
  <c r="J248" i="5"/>
  <c r="I248" i="5"/>
  <c r="H248" i="5"/>
  <c r="G248" i="5"/>
  <c r="J247" i="5"/>
  <c r="I247" i="5"/>
  <c r="H247" i="5"/>
  <c r="G247" i="5"/>
  <c r="J246" i="5"/>
  <c r="I246" i="5"/>
  <c r="H246" i="5"/>
  <c r="G246" i="5"/>
  <c r="J245" i="5"/>
  <c r="I245" i="5"/>
  <c r="H245" i="5"/>
  <c r="G245" i="5"/>
  <c r="J244" i="5"/>
  <c r="I244" i="5"/>
  <c r="H244" i="5"/>
  <c r="G244" i="5"/>
  <c r="J243" i="5"/>
  <c r="I243" i="5"/>
  <c r="H243" i="5"/>
  <c r="G243" i="5"/>
  <c r="J242" i="5"/>
  <c r="I242" i="5"/>
  <c r="H242" i="5"/>
  <c r="G242" i="5"/>
  <c r="J241" i="5"/>
  <c r="I241" i="5"/>
  <c r="H241" i="5"/>
  <c r="G241" i="5"/>
  <c r="J240" i="5"/>
  <c r="I240" i="5"/>
  <c r="H240" i="5"/>
  <c r="G240" i="5"/>
  <c r="J239" i="5"/>
  <c r="I239" i="5"/>
  <c r="H239" i="5"/>
  <c r="G239" i="5"/>
  <c r="J238" i="5"/>
  <c r="I238" i="5"/>
  <c r="H238" i="5"/>
  <c r="G238" i="5"/>
  <c r="J237" i="5"/>
  <c r="I237" i="5"/>
  <c r="H237" i="5"/>
  <c r="G237" i="5"/>
  <c r="J236" i="5"/>
  <c r="I236" i="5"/>
  <c r="H236" i="5"/>
  <c r="G236" i="5"/>
  <c r="J235" i="5"/>
  <c r="I235" i="5"/>
  <c r="H235" i="5"/>
  <c r="G235" i="5"/>
  <c r="J234" i="5"/>
  <c r="I234" i="5"/>
  <c r="H234" i="5"/>
  <c r="G234" i="5"/>
  <c r="J233" i="5"/>
  <c r="I233" i="5"/>
  <c r="H233" i="5"/>
  <c r="G233" i="5"/>
  <c r="J232" i="5"/>
  <c r="I232" i="5"/>
  <c r="H232" i="5"/>
  <c r="G232" i="5"/>
  <c r="J231" i="5"/>
  <c r="I231" i="5"/>
  <c r="H231" i="5"/>
  <c r="G231" i="5"/>
  <c r="J230" i="5"/>
  <c r="I230" i="5"/>
  <c r="H230" i="5"/>
  <c r="G230" i="5"/>
  <c r="J229" i="5"/>
  <c r="I229" i="5"/>
  <c r="H229" i="5"/>
  <c r="G229" i="5"/>
  <c r="J228" i="5"/>
  <c r="I228" i="5"/>
  <c r="H228" i="5"/>
  <c r="G228" i="5"/>
  <c r="J227" i="5"/>
  <c r="I227" i="5"/>
  <c r="H227" i="5"/>
  <c r="G227" i="5"/>
  <c r="J226" i="5"/>
  <c r="I226" i="5"/>
  <c r="H226" i="5"/>
  <c r="G226" i="5"/>
  <c r="J225" i="5"/>
  <c r="I225" i="5"/>
  <c r="H225" i="5"/>
  <c r="G225" i="5"/>
  <c r="J224" i="5"/>
  <c r="I224" i="5"/>
  <c r="H224" i="5"/>
  <c r="G224" i="5"/>
  <c r="J223" i="5"/>
  <c r="I223" i="5"/>
  <c r="H223" i="5"/>
  <c r="G223" i="5"/>
  <c r="J222" i="5"/>
  <c r="I222" i="5"/>
  <c r="H222" i="5"/>
  <c r="G222" i="5"/>
  <c r="J221" i="5"/>
  <c r="I221" i="5"/>
  <c r="H221" i="5"/>
  <c r="G221" i="5"/>
  <c r="J220" i="5"/>
  <c r="I220" i="5"/>
  <c r="H220" i="5"/>
  <c r="G220" i="5"/>
  <c r="J219" i="5"/>
  <c r="I219" i="5"/>
  <c r="H219" i="5"/>
  <c r="G219" i="5"/>
  <c r="J218" i="5"/>
  <c r="I218" i="5"/>
  <c r="H218" i="5"/>
  <c r="G218" i="5"/>
  <c r="J217" i="5"/>
  <c r="I217" i="5"/>
  <c r="H217" i="5"/>
  <c r="G217" i="5"/>
  <c r="J216" i="5"/>
  <c r="I216" i="5"/>
  <c r="H216" i="5"/>
  <c r="G216" i="5"/>
  <c r="J215" i="5"/>
  <c r="I215" i="5"/>
  <c r="H215" i="5"/>
  <c r="G215" i="5"/>
  <c r="J214" i="5"/>
  <c r="I214" i="5"/>
  <c r="H214" i="5"/>
  <c r="G214" i="5"/>
  <c r="J213" i="5"/>
  <c r="I213" i="5"/>
  <c r="H213" i="5"/>
  <c r="G213" i="5"/>
  <c r="J212" i="5"/>
  <c r="I212" i="5"/>
  <c r="H212" i="5"/>
  <c r="G212" i="5"/>
  <c r="J211" i="5"/>
  <c r="I211" i="5"/>
  <c r="H211" i="5"/>
  <c r="G211" i="5"/>
  <c r="J210" i="5"/>
  <c r="I210" i="5"/>
  <c r="H210" i="5"/>
  <c r="G210" i="5"/>
  <c r="J209" i="5"/>
  <c r="I209" i="5"/>
  <c r="H209" i="5"/>
  <c r="G209" i="5"/>
  <c r="J208" i="5"/>
  <c r="I208" i="5"/>
  <c r="H208" i="5"/>
  <c r="G208" i="5"/>
  <c r="J207" i="5"/>
  <c r="I207" i="5"/>
  <c r="H207" i="5"/>
  <c r="G207" i="5"/>
  <c r="J206" i="5"/>
  <c r="I206" i="5"/>
  <c r="H206" i="5"/>
  <c r="G206" i="5"/>
  <c r="J205" i="5"/>
  <c r="I205" i="5"/>
  <c r="H205" i="5"/>
  <c r="G205" i="5"/>
  <c r="J204" i="5"/>
  <c r="I204" i="5"/>
  <c r="H204" i="5"/>
  <c r="G204" i="5"/>
  <c r="J203" i="5"/>
  <c r="I203" i="5"/>
  <c r="H203" i="5"/>
  <c r="G203" i="5"/>
  <c r="J202" i="5"/>
  <c r="I202" i="5"/>
  <c r="H202" i="5"/>
  <c r="G202" i="5"/>
  <c r="J201" i="5"/>
  <c r="I201" i="5"/>
  <c r="H201" i="5"/>
  <c r="G201" i="5"/>
  <c r="J200" i="5"/>
  <c r="I200" i="5"/>
  <c r="H200" i="5"/>
  <c r="G200" i="5"/>
  <c r="J199" i="5"/>
  <c r="I199" i="5"/>
  <c r="H199" i="5"/>
  <c r="G199" i="5"/>
  <c r="J198" i="5"/>
  <c r="I198" i="5"/>
  <c r="H198" i="5"/>
  <c r="G198" i="5"/>
  <c r="J197" i="5"/>
  <c r="I197" i="5"/>
  <c r="H197" i="5"/>
  <c r="G197" i="5"/>
  <c r="J196" i="5"/>
  <c r="I196" i="5"/>
  <c r="H196" i="5"/>
  <c r="G196" i="5"/>
  <c r="J195" i="5"/>
  <c r="I195" i="5"/>
  <c r="H195" i="5"/>
  <c r="G195" i="5"/>
  <c r="J194" i="5"/>
  <c r="I194" i="5"/>
  <c r="H194" i="5"/>
  <c r="G194" i="5"/>
  <c r="J193" i="5"/>
  <c r="I193" i="5"/>
  <c r="H193" i="5"/>
  <c r="G193" i="5"/>
  <c r="J192" i="5"/>
  <c r="I192" i="5"/>
  <c r="H192" i="5"/>
  <c r="G192" i="5"/>
  <c r="J191" i="5"/>
  <c r="I191" i="5"/>
  <c r="H191" i="5"/>
  <c r="G191" i="5"/>
  <c r="J190" i="5"/>
  <c r="I190" i="5"/>
  <c r="H190" i="5"/>
  <c r="G190" i="5"/>
  <c r="J189" i="5"/>
  <c r="I189" i="5"/>
  <c r="H189" i="5"/>
  <c r="G189" i="5"/>
  <c r="J188" i="5"/>
  <c r="I188" i="5"/>
  <c r="H188" i="5"/>
  <c r="G188" i="5"/>
  <c r="J187" i="5"/>
  <c r="I187" i="5"/>
  <c r="H187" i="5"/>
  <c r="G187" i="5"/>
  <c r="J186" i="5"/>
  <c r="I186" i="5"/>
  <c r="H186" i="5"/>
  <c r="G186" i="5"/>
  <c r="J185" i="5"/>
  <c r="I185" i="5"/>
  <c r="H185" i="5"/>
  <c r="G185" i="5"/>
  <c r="J184" i="5"/>
  <c r="I184" i="5"/>
  <c r="H184" i="5"/>
  <c r="G184" i="5"/>
  <c r="J183" i="5"/>
  <c r="I183" i="5"/>
  <c r="H183" i="5"/>
  <c r="G183" i="5"/>
  <c r="J182" i="5"/>
  <c r="I182" i="5"/>
  <c r="H182" i="5"/>
  <c r="G182" i="5"/>
  <c r="J181" i="5"/>
  <c r="I181" i="5"/>
  <c r="H181" i="5"/>
  <c r="G181" i="5"/>
  <c r="J180" i="5"/>
  <c r="I180" i="5"/>
  <c r="H180" i="5"/>
  <c r="G180" i="5"/>
  <c r="J179" i="5"/>
  <c r="I179" i="5"/>
  <c r="H179" i="5"/>
  <c r="G179" i="5"/>
  <c r="J178" i="5"/>
  <c r="I178" i="5"/>
  <c r="H178" i="5"/>
  <c r="G178" i="5"/>
  <c r="J177" i="5"/>
  <c r="I177" i="5"/>
  <c r="H177" i="5"/>
  <c r="G177" i="5"/>
  <c r="J176" i="5"/>
  <c r="I176" i="5"/>
  <c r="H176" i="5"/>
  <c r="G176" i="5"/>
  <c r="J175" i="5"/>
  <c r="I175" i="5"/>
  <c r="H175" i="5"/>
  <c r="G175" i="5"/>
  <c r="J174" i="5"/>
  <c r="I174" i="5"/>
  <c r="H174" i="5"/>
  <c r="G174" i="5"/>
  <c r="J173" i="5"/>
  <c r="I173" i="5"/>
  <c r="H173" i="5"/>
  <c r="G173" i="5"/>
  <c r="J172" i="5"/>
  <c r="I172" i="5"/>
  <c r="H172" i="5"/>
  <c r="G172" i="5"/>
  <c r="J171" i="5"/>
  <c r="I171" i="5"/>
  <c r="H171" i="5"/>
  <c r="G171" i="5"/>
  <c r="J170" i="5"/>
  <c r="I170" i="5"/>
  <c r="H170" i="5"/>
  <c r="G170" i="5"/>
  <c r="J169" i="5"/>
  <c r="I169" i="5"/>
  <c r="H169" i="5"/>
  <c r="G169" i="5"/>
  <c r="J168" i="5"/>
  <c r="I168" i="5"/>
  <c r="H168" i="5"/>
  <c r="G168" i="5"/>
  <c r="J167" i="5"/>
  <c r="I167" i="5"/>
  <c r="H167" i="5"/>
  <c r="G167" i="5"/>
  <c r="J166" i="5"/>
  <c r="I166" i="5"/>
  <c r="H166" i="5"/>
  <c r="G166" i="5"/>
  <c r="J165" i="5"/>
  <c r="I165" i="5"/>
  <c r="H165" i="5"/>
  <c r="G165" i="5"/>
  <c r="J164" i="5"/>
  <c r="I164" i="5"/>
  <c r="H164" i="5"/>
  <c r="G164" i="5"/>
  <c r="J163" i="5"/>
  <c r="I163" i="5"/>
  <c r="H163" i="5"/>
  <c r="G163" i="5"/>
  <c r="J162" i="5"/>
  <c r="I162" i="5"/>
  <c r="H162" i="5"/>
  <c r="G162" i="5"/>
  <c r="J161" i="5"/>
  <c r="I161" i="5"/>
  <c r="H161" i="5"/>
  <c r="G161" i="5"/>
  <c r="J160" i="5"/>
  <c r="I160" i="5"/>
  <c r="H160" i="5"/>
  <c r="G160" i="5"/>
  <c r="J159" i="5"/>
  <c r="I159" i="5"/>
  <c r="H159" i="5"/>
  <c r="G159" i="5"/>
  <c r="J158" i="5"/>
  <c r="I158" i="5"/>
  <c r="H158" i="5"/>
  <c r="G158" i="5"/>
  <c r="J157" i="5"/>
  <c r="I157" i="5"/>
  <c r="H157" i="5"/>
  <c r="G157" i="5"/>
  <c r="J156" i="5"/>
  <c r="I156" i="5"/>
  <c r="H156" i="5"/>
  <c r="G156" i="5"/>
  <c r="J155" i="5"/>
  <c r="I155" i="5"/>
  <c r="H155" i="5"/>
  <c r="G155" i="5"/>
  <c r="J154" i="5"/>
  <c r="I154" i="5"/>
  <c r="H154" i="5"/>
  <c r="G154" i="5"/>
  <c r="J153" i="5"/>
  <c r="I153" i="5"/>
  <c r="H153" i="5"/>
  <c r="G153" i="5"/>
  <c r="J152" i="5"/>
  <c r="I152" i="5"/>
  <c r="H152" i="5"/>
  <c r="G152" i="5"/>
  <c r="J151" i="5"/>
  <c r="I151" i="5"/>
  <c r="H151" i="5"/>
  <c r="G151" i="5"/>
  <c r="J150" i="5"/>
  <c r="I150" i="5"/>
  <c r="H150" i="5"/>
  <c r="G150" i="5"/>
  <c r="J149" i="5"/>
  <c r="I149" i="5"/>
  <c r="H149" i="5"/>
  <c r="G149" i="5"/>
  <c r="J148" i="5"/>
  <c r="I148" i="5"/>
  <c r="H148" i="5"/>
  <c r="G148" i="5"/>
  <c r="J147" i="5"/>
  <c r="I147" i="5"/>
  <c r="H147" i="5"/>
  <c r="G147" i="5"/>
  <c r="J146" i="5"/>
  <c r="I146" i="5"/>
  <c r="H146" i="5"/>
  <c r="G146" i="5"/>
  <c r="J145" i="5"/>
  <c r="I145" i="5"/>
  <c r="H145" i="5"/>
  <c r="G145" i="5"/>
  <c r="J144" i="5"/>
  <c r="I144" i="5"/>
  <c r="H144" i="5"/>
  <c r="G144" i="5"/>
  <c r="J143" i="5"/>
  <c r="I143" i="5"/>
  <c r="H143" i="5"/>
  <c r="G143" i="5"/>
  <c r="J142" i="5"/>
  <c r="I142" i="5"/>
  <c r="H142" i="5"/>
  <c r="G142" i="5"/>
  <c r="J141" i="5"/>
  <c r="I141" i="5"/>
  <c r="H141" i="5"/>
  <c r="G141" i="5"/>
  <c r="J140" i="5"/>
  <c r="I140" i="5"/>
  <c r="H140" i="5"/>
  <c r="G140" i="5"/>
  <c r="J139" i="5"/>
  <c r="I139" i="5"/>
  <c r="H139" i="5"/>
  <c r="G139" i="5"/>
  <c r="J138" i="5"/>
  <c r="I138" i="5"/>
  <c r="H138" i="5"/>
  <c r="G138" i="5"/>
  <c r="J137" i="5"/>
  <c r="I137" i="5"/>
  <c r="H137" i="5"/>
  <c r="G137" i="5"/>
  <c r="J136" i="5"/>
  <c r="I136" i="5"/>
  <c r="H136" i="5"/>
  <c r="G136" i="5"/>
  <c r="J135" i="5"/>
  <c r="I135" i="5"/>
  <c r="H135" i="5"/>
  <c r="G135" i="5"/>
  <c r="J134" i="5"/>
  <c r="I134" i="5"/>
  <c r="H134" i="5"/>
  <c r="G134" i="5"/>
  <c r="J133" i="5"/>
  <c r="I133" i="5"/>
  <c r="H133" i="5"/>
  <c r="G133" i="5"/>
  <c r="J132" i="5"/>
  <c r="I132" i="5"/>
  <c r="H132" i="5"/>
  <c r="G132" i="5"/>
  <c r="J131" i="5"/>
  <c r="I131" i="5"/>
  <c r="H131" i="5"/>
  <c r="G131" i="5"/>
  <c r="J130" i="5"/>
  <c r="I130" i="5"/>
  <c r="H130" i="5"/>
  <c r="G130" i="5"/>
  <c r="J129" i="5"/>
  <c r="I129" i="5"/>
  <c r="H129" i="5"/>
  <c r="G129" i="5"/>
  <c r="J128" i="5"/>
  <c r="I128" i="5"/>
  <c r="H128" i="5"/>
  <c r="G128" i="5"/>
  <c r="J127" i="5"/>
  <c r="I127" i="5"/>
  <c r="H127" i="5"/>
  <c r="G127" i="5"/>
  <c r="J126" i="5"/>
  <c r="I126" i="5"/>
  <c r="H126" i="5"/>
  <c r="G126" i="5"/>
  <c r="J125" i="5"/>
  <c r="I125" i="5"/>
  <c r="H125" i="5"/>
  <c r="G125" i="5"/>
  <c r="J124" i="5"/>
  <c r="I124" i="5"/>
  <c r="H124" i="5"/>
  <c r="G124" i="5"/>
  <c r="J123" i="5"/>
  <c r="I123" i="5"/>
  <c r="H123" i="5"/>
  <c r="G123" i="5"/>
  <c r="J122" i="5"/>
  <c r="I122" i="5"/>
  <c r="H122" i="5"/>
  <c r="G122" i="5"/>
  <c r="J121" i="5"/>
  <c r="I121" i="5"/>
  <c r="H121" i="5"/>
  <c r="G121" i="5"/>
  <c r="J120" i="5"/>
  <c r="I120" i="5"/>
  <c r="H120" i="5"/>
  <c r="G120" i="5"/>
  <c r="J119" i="5"/>
  <c r="I119" i="5"/>
  <c r="H119" i="5"/>
  <c r="G119" i="5"/>
  <c r="J118" i="5"/>
  <c r="I118" i="5"/>
  <c r="H118" i="5"/>
  <c r="G118" i="5"/>
  <c r="J117" i="5"/>
  <c r="I117" i="5"/>
  <c r="H117" i="5"/>
  <c r="G117" i="5"/>
  <c r="J116" i="5"/>
  <c r="I116" i="5"/>
  <c r="H116" i="5"/>
  <c r="G116" i="5"/>
  <c r="J115" i="5"/>
  <c r="I115" i="5"/>
  <c r="H115" i="5"/>
  <c r="G115" i="5"/>
  <c r="J114" i="5"/>
  <c r="I114" i="5"/>
  <c r="H114" i="5"/>
  <c r="G114" i="5"/>
  <c r="J113" i="5"/>
  <c r="I113" i="5"/>
  <c r="H113" i="5"/>
  <c r="G113" i="5"/>
  <c r="J112" i="5"/>
  <c r="I112" i="5"/>
  <c r="H112" i="5"/>
  <c r="G112" i="5"/>
  <c r="J111" i="5"/>
  <c r="I111" i="5"/>
  <c r="H111" i="5"/>
  <c r="G111" i="5"/>
  <c r="J110" i="5"/>
  <c r="I110" i="5"/>
  <c r="H110" i="5"/>
  <c r="G110" i="5"/>
  <c r="J109" i="5"/>
  <c r="I109" i="5"/>
  <c r="H109" i="5"/>
  <c r="G109" i="5"/>
  <c r="J108" i="5"/>
  <c r="I108" i="5"/>
  <c r="H108" i="5"/>
  <c r="G108" i="5"/>
  <c r="J107" i="5"/>
  <c r="I107" i="5"/>
  <c r="H107" i="5"/>
  <c r="G107" i="5"/>
  <c r="J106" i="5"/>
  <c r="I106" i="5"/>
  <c r="H106" i="5"/>
  <c r="G106" i="5"/>
  <c r="J105" i="5"/>
  <c r="I105" i="5"/>
  <c r="H105" i="5"/>
  <c r="G105" i="5"/>
  <c r="J104" i="5"/>
  <c r="I104" i="5"/>
  <c r="H104" i="5"/>
  <c r="G104" i="5"/>
  <c r="J103" i="5"/>
  <c r="I103" i="5"/>
  <c r="H103" i="5"/>
  <c r="G103" i="5"/>
  <c r="J102" i="5"/>
  <c r="I102" i="5"/>
  <c r="H102" i="5"/>
  <c r="G102" i="5"/>
  <c r="J101" i="5"/>
  <c r="I101" i="5"/>
  <c r="H101" i="5"/>
  <c r="G101" i="5"/>
  <c r="J100" i="5"/>
  <c r="I100" i="5"/>
  <c r="H100" i="5"/>
  <c r="G100" i="5"/>
  <c r="J99" i="5"/>
  <c r="I99" i="5"/>
  <c r="H99" i="5"/>
  <c r="G99" i="5"/>
  <c r="J98" i="5"/>
  <c r="I98" i="5"/>
  <c r="H98" i="5"/>
  <c r="G98" i="5"/>
  <c r="J97" i="5"/>
  <c r="I97" i="5"/>
  <c r="H97" i="5"/>
  <c r="G97" i="5"/>
  <c r="J96" i="5"/>
  <c r="I96" i="5"/>
  <c r="H96" i="5"/>
  <c r="G96" i="5"/>
  <c r="J95" i="5"/>
  <c r="I95" i="5"/>
  <c r="H95" i="5"/>
  <c r="G95" i="5"/>
  <c r="J94" i="5"/>
  <c r="I94" i="5"/>
  <c r="H94" i="5"/>
  <c r="G94" i="5"/>
  <c r="J93" i="5"/>
  <c r="I93" i="5"/>
  <c r="H93" i="5"/>
  <c r="G93" i="5"/>
  <c r="J92" i="5"/>
  <c r="I92" i="5"/>
  <c r="H92" i="5"/>
  <c r="G92" i="5"/>
  <c r="J91" i="5"/>
  <c r="I91" i="5"/>
  <c r="H91" i="5"/>
  <c r="G91" i="5"/>
  <c r="J90" i="5"/>
  <c r="I90" i="5"/>
  <c r="H90" i="5"/>
  <c r="G90" i="5"/>
  <c r="J89" i="5"/>
  <c r="I89" i="5"/>
  <c r="H89" i="5"/>
  <c r="G89" i="5"/>
  <c r="J88" i="5"/>
  <c r="I88" i="5"/>
  <c r="H88" i="5"/>
  <c r="G88" i="5"/>
  <c r="J87" i="5"/>
  <c r="I87" i="5"/>
  <c r="H87" i="5"/>
  <c r="G87" i="5"/>
  <c r="J86" i="5"/>
  <c r="I86" i="5"/>
  <c r="H86" i="5"/>
  <c r="G86" i="5"/>
  <c r="J85" i="5"/>
  <c r="I85" i="5"/>
  <c r="H85" i="5"/>
  <c r="G85" i="5"/>
  <c r="J84" i="5"/>
  <c r="I84" i="5"/>
  <c r="H84" i="5"/>
  <c r="G84" i="5"/>
  <c r="J83" i="5"/>
  <c r="I83" i="5"/>
  <c r="H83" i="5"/>
  <c r="G83" i="5"/>
  <c r="J82" i="5"/>
  <c r="I82" i="5"/>
  <c r="H82" i="5"/>
  <c r="G82" i="5"/>
  <c r="J81" i="5"/>
  <c r="I81" i="5"/>
  <c r="H81" i="5"/>
  <c r="G81" i="5"/>
  <c r="J80" i="5"/>
  <c r="I80" i="5"/>
  <c r="H80" i="5"/>
  <c r="G80" i="5"/>
  <c r="J79" i="5"/>
  <c r="I79" i="5"/>
  <c r="H79" i="5"/>
  <c r="G79" i="5"/>
  <c r="J78" i="5"/>
  <c r="I78" i="5"/>
  <c r="H78" i="5"/>
  <c r="G78" i="5"/>
  <c r="J77" i="5"/>
  <c r="I77" i="5"/>
  <c r="H77" i="5"/>
  <c r="G77" i="5"/>
  <c r="J76" i="5"/>
  <c r="I76" i="5"/>
  <c r="H76" i="5"/>
  <c r="G76" i="5"/>
  <c r="J75" i="5"/>
  <c r="I75" i="5"/>
  <c r="H75" i="5"/>
  <c r="G75" i="5"/>
  <c r="J74" i="5"/>
  <c r="I74" i="5"/>
  <c r="H74" i="5"/>
  <c r="G74" i="5"/>
  <c r="J73" i="5"/>
  <c r="I73" i="5"/>
  <c r="H73" i="5"/>
  <c r="G73" i="5"/>
  <c r="J72" i="5"/>
  <c r="I72" i="5"/>
  <c r="H72" i="5"/>
  <c r="G72" i="5"/>
  <c r="J71" i="5"/>
  <c r="I71" i="5"/>
  <c r="H71" i="5"/>
  <c r="G71" i="5"/>
  <c r="J70" i="5"/>
  <c r="I70" i="5"/>
  <c r="H70" i="5"/>
  <c r="G70" i="5"/>
  <c r="J69" i="5"/>
  <c r="I69" i="5"/>
  <c r="H69" i="5"/>
  <c r="G69" i="5"/>
  <c r="J68" i="5"/>
  <c r="I68" i="5"/>
  <c r="H68" i="5"/>
  <c r="G68" i="5"/>
  <c r="J67" i="5"/>
  <c r="I67" i="5"/>
  <c r="H67" i="5"/>
  <c r="G67" i="5"/>
  <c r="J66" i="5"/>
  <c r="I66" i="5"/>
  <c r="H66" i="5"/>
  <c r="G66" i="5"/>
  <c r="J65" i="5"/>
  <c r="I65" i="5"/>
  <c r="H65" i="5"/>
  <c r="G65" i="5"/>
  <c r="J64" i="5"/>
  <c r="I64" i="5"/>
  <c r="H64" i="5"/>
  <c r="G64" i="5"/>
  <c r="J63" i="5"/>
  <c r="I63" i="5"/>
  <c r="H63" i="5"/>
  <c r="G63" i="5"/>
  <c r="J62" i="5"/>
  <c r="I62" i="5"/>
  <c r="H62" i="5"/>
  <c r="G62" i="5"/>
  <c r="J61" i="5"/>
  <c r="I61" i="5"/>
  <c r="H61" i="5"/>
  <c r="G61" i="5"/>
  <c r="J60" i="5"/>
  <c r="I60" i="5"/>
  <c r="H60" i="5"/>
  <c r="G60" i="5"/>
  <c r="J59" i="5"/>
  <c r="I59" i="5"/>
  <c r="H59" i="5"/>
  <c r="G59" i="5"/>
  <c r="J58" i="5"/>
  <c r="I58" i="5"/>
  <c r="H58" i="5"/>
  <c r="G58" i="5"/>
  <c r="J57" i="5"/>
  <c r="I57" i="5"/>
  <c r="H57" i="5"/>
  <c r="G57" i="5"/>
  <c r="J56" i="5"/>
  <c r="I56" i="5"/>
  <c r="H56" i="5"/>
  <c r="G56" i="5"/>
  <c r="J55" i="5"/>
  <c r="I55" i="5"/>
  <c r="H55" i="5"/>
  <c r="G55" i="5"/>
  <c r="J54" i="5"/>
  <c r="I54" i="5"/>
  <c r="H54" i="5"/>
  <c r="G54" i="5"/>
  <c r="J53" i="5"/>
  <c r="I53" i="5"/>
  <c r="H53" i="5"/>
  <c r="G53" i="5"/>
  <c r="J52" i="5"/>
  <c r="I52" i="5"/>
  <c r="H52" i="5"/>
  <c r="G52" i="5"/>
  <c r="J51" i="5"/>
  <c r="I51" i="5"/>
  <c r="H51" i="5"/>
  <c r="G51" i="5"/>
  <c r="J50" i="5"/>
  <c r="I50" i="5"/>
  <c r="H50" i="5"/>
  <c r="G50" i="5"/>
  <c r="J49" i="5"/>
  <c r="I49" i="5"/>
  <c r="H49" i="5"/>
  <c r="G49" i="5"/>
  <c r="J48" i="5"/>
  <c r="I48" i="5"/>
  <c r="H48" i="5"/>
  <c r="G48" i="5"/>
  <c r="J47" i="5"/>
  <c r="I47" i="5"/>
  <c r="H47" i="5"/>
  <c r="G47" i="5"/>
  <c r="J46" i="5"/>
  <c r="I46" i="5"/>
  <c r="H46" i="5"/>
  <c r="G46" i="5"/>
  <c r="J45" i="5"/>
  <c r="I45" i="5"/>
  <c r="H45" i="5"/>
  <c r="G45" i="5"/>
  <c r="J44" i="5"/>
  <c r="I44" i="5"/>
  <c r="H44" i="5"/>
  <c r="G44" i="5"/>
  <c r="J43" i="5"/>
  <c r="I43" i="5"/>
  <c r="H43" i="5"/>
  <c r="G43" i="5"/>
  <c r="J42" i="5"/>
  <c r="I42" i="5"/>
  <c r="H42" i="5"/>
  <c r="G42" i="5"/>
  <c r="J41" i="5"/>
  <c r="I41" i="5"/>
  <c r="H41" i="5"/>
  <c r="G4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H353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353" i="4" s="1"/>
  <c r="J8" i="4"/>
  <c r="J7" i="4"/>
  <c r="J6" i="4"/>
  <c r="J5" i="4"/>
  <c r="J8" i="6" l="1"/>
  <c r="K8" i="6"/>
  <c r="F63" i="7"/>
  <c r="I63" i="7" s="1"/>
  <c r="K11" i="6"/>
  <c r="J11" i="6"/>
  <c r="G63" i="7" s="1"/>
  <c r="K19" i="6"/>
  <c r="F37" i="7"/>
  <c r="I37" i="7" s="1"/>
  <c r="J19" i="6"/>
  <c r="G37" i="7" s="1"/>
  <c r="K22" i="6"/>
  <c r="J22" i="6"/>
  <c r="K27" i="6"/>
  <c r="J27" i="6"/>
  <c r="K35" i="6"/>
  <c r="J35" i="6"/>
  <c r="K38" i="6"/>
  <c r="J38" i="6"/>
  <c r="K43" i="6"/>
  <c r="J43" i="6"/>
  <c r="F108" i="7"/>
  <c r="I108" i="7" s="1"/>
  <c r="K51" i="6"/>
  <c r="J51" i="6"/>
  <c r="G108" i="7" s="1"/>
  <c r="J25" i="6"/>
  <c r="K25" i="6"/>
  <c r="J33" i="6"/>
  <c r="G26" i="7" s="1"/>
  <c r="F26" i="7"/>
  <c r="I26" i="7" s="1"/>
  <c r="K33" i="6"/>
  <c r="J41" i="6"/>
  <c r="G36" i="7" s="1"/>
  <c r="F36" i="7"/>
  <c r="I36" i="7" s="1"/>
  <c r="K41" i="6"/>
  <c r="J20" i="6"/>
  <c r="G47" i="7" s="1"/>
  <c r="F47" i="7"/>
  <c r="I47" i="7" s="1"/>
  <c r="K20" i="6"/>
  <c r="J28" i="6"/>
  <c r="G18" i="7" s="1"/>
  <c r="K28" i="6"/>
  <c r="F18" i="7"/>
  <c r="I18" i="7" s="1"/>
  <c r="J36" i="6"/>
  <c r="K36" i="6"/>
  <c r="J44" i="6"/>
  <c r="K44" i="6"/>
  <c r="J12" i="6"/>
  <c r="G33" i="7" s="1"/>
  <c r="F33" i="7"/>
  <c r="I33" i="7" s="1"/>
  <c r="K12" i="6"/>
  <c r="K7" i="6"/>
  <c r="F50" i="7"/>
  <c r="I50" i="7" s="1"/>
  <c r="J7" i="6"/>
  <c r="G50" i="7" s="1"/>
  <c r="K23" i="6"/>
  <c r="F34" i="7"/>
  <c r="I34" i="7" s="1"/>
  <c r="J23" i="6"/>
  <c r="G34" i="7" s="1"/>
  <c r="K31" i="6"/>
  <c r="F77" i="7"/>
  <c r="I77" i="7" s="1"/>
  <c r="J31" i="6"/>
  <c r="G77" i="7" s="1"/>
  <c r="K42" i="6"/>
  <c r="J42" i="6"/>
  <c r="K47" i="6"/>
  <c r="J47" i="6"/>
  <c r="K50" i="6"/>
  <c r="J50" i="6"/>
  <c r="G106" i="7" s="1"/>
  <c r="F106" i="7"/>
  <c r="I106" i="7" s="1"/>
  <c r="J21" i="6"/>
  <c r="G87" i="7" s="1"/>
  <c r="K21" i="6"/>
  <c r="F87" i="7"/>
  <c r="I87" i="7" s="1"/>
  <c r="J29" i="6"/>
  <c r="G52" i="7" s="1"/>
  <c r="F52" i="7"/>
  <c r="I52" i="7" s="1"/>
  <c r="K29" i="6"/>
  <c r="J45" i="6"/>
  <c r="K45" i="6"/>
  <c r="J13" i="6"/>
  <c r="G79" i="7" s="1"/>
  <c r="F79" i="7"/>
  <c r="I79" i="7" s="1"/>
  <c r="K13" i="6"/>
  <c r="J24" i="6"/>
  <c r="G20" i="7" s="1"/>
  <c r="F20" i="7"/>
  <c r="I20" i="7" s="1"/>
  <c r="K24" i="6"/>
  <c r="J40" i="6"/>
  <c r="K40" i="6"/>
  <c r="D26" i="7"/>
  <c r="D112" i="7" s="1"/>
  <c r="E37" i="7"/>
  <c r="E77" i="7"/>
  <c r="D106" i="7"/>
  <c r="H6" i="6"/>
  <c r="H10" i="6"/>
  <c r="H14" i="6"/>
  <c r="H18" i="6"/>
  <c r="H26" i="6"/>
  <c r="H30" i="6"/>
  <c r="H34" i="6"/>
  <c r="H46" i="6"/>
  <c r="E18" i="7"/>
  <c r="E112" i="7" s="1"/>
  <c r="E34" i="7"/>
  <c r="E50" i="7"/>
  <c r="D71" i="7"/>
  <c r="D79" i="7"/>
  <c r="D87" i="7"/>
  <c r="D36" i="7"/>
  <c r="E47" i="7"/>
  <c r="D52" i="7"/>
  <c r="E63" i="7"/>
  <c r="E71" i="7"/>
  <c r="H5" i="6"/>
  <c r="H9" i="6"/>
  <c r="H17" i="6"/>
  <c r="H37" i="6"/>
  <c r="H49" i="6"/>
  <c r="I5" i="7"/>
  <c r="E20" i="7"/>
  <c r="E108" i="7"/>
  <c r="E33" i="7"/>
  <c r="H16" i="6"/>
  <c r="H32" i="6"/>
  <c r="H48" i="6"/>
  <c r="H15" i="6"/>
  <c r="H39" i="6"/>
  <c r="K30" i="6" l="1"/>
  <c r="F60" i="7"/>
  <c r="I60" i="7" s="1"/>
  <c r="J30" i="6"/>
  <c r="G60" i="7" s="1"/>
  <c r="J16" i="6"/>
  <c r="G80" i="7" s="1"/>
  <c r="K16" i="6"/>
  <c r="F80" i="7"/>
  <c r="I80" i="7" s="1"/>
  <c r="F70" i="7"/>
  <c r="I70" i="7" s="1"/>
  <c r="J9" i="6"/>
  <c r="G70" i="7" s="1"/>
  <c r="K9" i="6"/>
  <c r="K6" i="6"/>
  <c r="F39" i="7"/>
  <c r="I39" i="7" s="1"/>
  <c r="J6" i="6"/>
  <c r="G39" i="7" s="1"/>
  <c r="K15" i="6"/>
  <c r="J15" i="6"/>
  <c r="G56" i="7" s="1"/>
  <c r="F56" i="7"/>
  <c r="I56" i="7" s="1"/>
  <c r="F105" i="7"/>
  <c r="I105" i="7" s="1"/>
  <c r="J49" i="6"/>
  <c r="G105" i="7" s="1"/>
  <c r="K49" i="6"/>
  <c r="F67" i="7"/>
  <c r="I67" i="7" s="1"/>
  <c r="J32" i="6"/>
  <c r="G67" i="7" s="1"/>
  <c r="K32" i="6"/>
  <c r="F78" i="7"/>
  <c r="I78" i="7" s="1"/>
  <c r="J17" i="6"/>
  <c r="G78" i="7" s="1"/>
  <c r="K17" i="6"/>
  <c r="F62" i="7"/>
  <c r="I62" i="7" s="1"/>
  <c r="K26" i="6"/>
  <c r="J26" i="6"/>
  <c r="G62" i="7" s="1"/>
  <c r="H53" i="6"/>
  <c r="J5" i="6"/>
  <c r="F71" i="7"/>
  <c r="I71" i="7" s="1"/>
  <c r="K5" i="6"/>
  <c r="F54" i="7"/>
  <c r="I54" i="7" s="1"/>
  <c r="K18" i="6"/>
  <c r="J18" i="6"/>
  <c r="G54" i="7" s="1"/>
  <c r="F22" i="7"/>
  <c r="I22" i="7" s="1"/>
  <c r="K14" i="6"/>
  <c r="J14" i="6"/>
  <c r="G22" i="7" s="1"/>
  <c r="F86" i="7"/>
  <c r="I86" i="7" s="1"/>
  <c r="K10" i="6"/>
  <c r="J10" i="6"/>
  <c r="G86" i="7" s="1"/>
  <c r="K39" i="6"/>
  <c r="J39" i="6"/>
  <c r="G48" i="7" s="1"/>
  <c r="F48" i="7"/>
  <c r="I48" i="7" s="1"/>
  <c r="F35" i="7"/>
  <c r="I35" i="7" s="1"/>
  <c r="K46" i="6"/>
  <c r="J46" i="6"/>
  <c r="G35" i="7" s="1"/>
  <c r="J48" i="6"/>
  <c r="G104" i="7" s="1"/>
  <c r="F104" i="7"/>
  <c r="I104" i="7" s="1"/>
  <c r="K48" i="6"/>
  <c r="F38" i="7"/>
  <c r="I38" i="7" s="1"/>
  <c r="J37" i="6"/>
  <c r="G38" i="7" s="1"/>
  <c r="K37" i="6"/>
  <c r="K34" i="6"/>
  <c r="J34" i="6"/>
  <c r="G85" i="7" s="1"/>
  <c r="F85" i="7"/>
  <c r="I85" i="7" s="1"/>
  <c r="F112" i="7" l="1"/>
  <c r="J53" i="6"/>
  <c r="G71" i="7"/>
  <c r="G112" i="7" s="1"/>
</calcChain>
</file>

<file path=xl/sharedStrings.xml><?xml version="1.0" encoding="utf-8"?>
<sst xmlns="http://schemas.openxmlformats.org/spreadsheetml/2006/main" count="2686" uniqueCount="849">
  <si>
    <t>FILE KHO OXYMECIE — theo LÔ</t>
  </si>
  <si>
    <t>Nhập theo lô → xuất trừ kho theo lô → tự ra giá vốn từng hợp đồng.</t>
  </si>
  <si>
    <t>CÁCH TRỪ KHO</t>
  </si>
  <si>
    <t>Nguyên tắc</t>
  </si>
  <si>
    <t>Mỗi DÒNG hóa đơn = một LÔ, có mã riêng (L259-05). Xuất bao nhiêu thì ghi một dòng ở sheet "2. XuatKho".</t>
  </si>
  <si>
    <t>Ví dụ</t>
  </si>
  <si>
    <t>Lô L259-05 nhập 12 bình O2 8L. Xuất 1 bình cho HĐ A → ghi 1 dòng. Xuất 2 bình cho HĐ B → ghi 1 dòng nữa. Tồn còn 9.</t>
  </si>
  <si>
    <t>Giá vốn</t>
  </si>
  <si>
    <t>Tự lấy đơn giá của đúng lô đó. Không dùng bình quân — vì cùng mặt hàng giá các lô chênh nhau nhiều lần.</t>
  </si>
  <si>
    <t>Chặn xuất quá tồn</t>
  </si>
  <si>
    <t>Sheet "3. TonTheoLo" có cột cảnh báo nếu xuất nhiều hơn nhập.</t>
  </si>
  <si>
    <t>TÊN HÀNG KHÁC NHAU GIỮA HÓA ĐƠN VÀ HỢP ĐỒNG</t>
  </si>
  <si>
    <t>Vấn đề</t>
  </si>
  <si>
    <t>Hóa đơn ghi "Khí chuẩn Nitrogen dioxide (0.01%)", hợp đồng ghi "Bình khí chuẩn NO2 200ppm". Khác nồng độ = khác hàng.</t>
  </si>
  <si>
    <t>Cách xử lý</t>
  </si>
  <si>
    <t>Sheet "5. AnhXaTenBan" liệt kê 270 tên đang dùng trong hợp đồng bán. Anh gán mỗi tên về một LÔ hoặc một MÃ HÀNG.</t>
  </si>
  <si>
    <t>Vì sao phải tay</t>
  </si>
  <si>
    <t>Nồng độ ghi tự do (0.1 / 100ppm / 650mg/Nm3 / 99.99%) nên máy không tự khớp được. Chỉ người biết bình nào dùng cho đơn nào.</t>
  </si>
  <si>
    <t>Mẹo</t>
  </si>
  <si>
    <t>Gán xong một lần thì lần sau ở sheet "2. XuatKho" chỉ cần chọn lô, không phải nghĩ lại.</t>
  </si>
  <si>
    <t>QUY ƯỚC MÀU</t>
  </si>
  <si>
    <t>Vàng</t>
  </si>
  <si>
    <t>Ô anh nhập</t>
  </si>
  <si>
    <t>Xanh lá</t>
  </si>
  <si>
    <t>Em điền sẵn từ hóa đơn</t>
  </si>
  <si>
    <t>Xám</t>
  </si>
  <si>
    <t>Công thức</t>
  </si>
  <si>
    <t>Cam</t>
  </si>
  <si>
    <t>Cảnh báo</t>
  </si>
  <si>
    <t>DUNG DỊCH CHUẨN — MÃ RIÊNG THEO CHỈ TIÊU</t>
  </si>
  <si>
    <t>4 mã riêng</t>
  </si>
  <si>
    <t>DD-PH (pH 4/7/10) · DD-AMONI (NH4 / NH4-N / Amoni) · DD-COD · DD-TSS. Còn DD-KHAC chỉ dùng cho dung dịch lẻ như NO3.</t>
  </si>
  <si>
    <t>Mỗi lần nhập một giá</t>
  </si>
  <si>
    <t>Mỗi dòng ở "1. NhapKho" là một LÔ riêng, có đơn giá riêng. Cùng mã DD-COD nhập 3 lần 3 giá → 3 lô, xuất trừ đúng lô nào giá đó.</t>
  </si>
  <si>
    <t>Nồng độ ghi ở đâu</t>
  </si>
  <si>
    <t>Ghi vào cột "Quy cách / nồng độ theo hóa đơn" của dòng nhập (VD: COD 50ppm, pH 7, NH4-N 10ppm). Không tách thành mã riêng cho từng nồng độ.</t>
  </si>
  <si>
    <t>ĐVT</t>
  </si>
  <si>
    <t>Dung dịch tính theo Chai 500ml, không phải Bình.</t>
  </si>
  <si>
    <t>DANH MỤC MÃ HÀNG</t>
  </si>
  <si>
    <t>106 mã. Xếp theo nhóm → loại khí → thể tích tăng dần. Dung dịch chuẩn tách riêng: DD-PH, DD-AMONI, DD-COD, DD-TSS.</t>
  </si>
  <si>
    <t>MÃ HÀNG</t>
  </si>
  <si>
    <t>ANH SỬA</t>
  </si>
  <si>
    <t>Nhóm</t>
  </si>
  <si>
    <t>Loại khí / Vật liệu</t>
  </si>
  <si>
    <t>Thể tích</t>
  </si>
  <si>
    <t>Tên đầy đủ (tham chiếu)</t>
  </si>
  <si>
    <t>DD-PH</t>
  </si>
  <si>
    <t>Dung dịch chuẩn</t>
  </si>
  <si>
    <t>pH</t>
  </si>
  <si>
    <t>500ml</t>
  </si>
  <si>
    <t>Chai</t>
  </si>
  <si>
    <t>Dung dịch chuẩn PH7 | Dung dịch chuẩn pH | Dung dịch chuẩn pH 10 | Dung dịch chuẩn pH 4 | Dung dịch chuẩn pH 7</t>
  </si>
  <si>
    <t>DD-AMONI</t>
  </si>
  <si>
    <t>Amoni (NH4-N)</t>
  </si>
  <si>
    <t>Dung dich chuẩn Amoni | Dung dịch chuẩn NH4 | Dung dịch chuẩn NH4-N | Dung dịch chuẩn NH4-N 100ppm | Dung dịch chuẩn NH4-N 10ppm | Dung dịch chuẩn NH4-N 50ppm | Dung dịch chuẩn NH4-N 5ppm</t>
  </si>
  <si>
    <t>DD-COD</t>
  </si>
  <si>
    <t>COD</t>
  </si>
  <si>
    <t>Dung dịch chuẩn COD | Dung dịch chuẩn COD 100ppm | Dung dịch chuẩn COD 10ppm | Dung dịch chuẩn COD 300ppm | Dung dịch chuẩn COD 50ppm</t>
  </si>
  <si>
    <t>DD-TSS</t>
  </si>
  <si>
    <t>TSS</t>
  </si>
  <si>
    <t>Dung dịch chuẩn TSS | Dung dịch chuẩn TSS 100ppm | Dung dịch chuẩn TSS 10ppm | Dung dịch chuẩn TSS 50ppm</t>
  </si>
  <si>
    <t>DD-KHAC</t>
  </si>
  <si>
    <t>Khác (NO3...)</t>
  </si>
  <si>
    <t>Dung dịch chuẩn NO3</t>
  </si>
  <si>
    <t>KC-KHAC</t>
  </si>
  <si>
    <t>Khí chuẩn</t>
  </si>
  <si>
    <t>Bình</t>
  </si>
  <si>
    <t>Đầu chuyển đổi</t>
  </si>
  <si>
    <t>KC-ACETONE-40L</t>
  </si>
  <si>
    <t>ACETONE</t>
  </si>
  <si>
    <t>40L</t>
  </si>
  <si>
    <t>Khí chuẩn Acetone (C3H6O)</t>
  </si>
  <si>
    <t>KC-BENZEN-8L</t>
  </si>
  <si>
    <t>BENZEN</t>
  </si>
  <si>
    <t>8L</t>
  </si>
  <si>
    <t>Khí chuẩn Benzen</t>
  </si>
  <si>
    <t>KC-C3H6-8L</t>
  </si>
  <si>
    <t>C3H6</t>
  </si>
  <si>
    <t>Khí chuẩn C3H6</t>
  </si>
  <si>
    <t>KC-CH4</t>
  </si>
  <si>
    <t>CH4</t>
  </si>
  <si>
    <t>Hỗn hợp khí chuẩn CH4/N2</t>
  </si>
  <si>
    <t>KC-CH4-8L</t>
  </si>
  <si>
    <t>Bình khí CH4</t>
  </si>
  <si>
    <t>KC-CHU-10L</t>
  </si>
  <si>
    <t>CHU</t>
  </si>
  <si>
    <t>10L</t>
  </si>
  <si>
    <t>Bình khí chuẩn</t>
  </si>
  <si>
    <t>KC-CO</t>
  </si>
  <si>
    <t>CO</t>
  </si>
  <si>
    <t>Khí chuẩn CO</t>
  </si>
  <si>
    <t>KC-CO-1L</t>
  </si>
  <si>
    <t>1L</t>
  </si>
  <si>
    <t>KC-CO-1.2L</t>
  </si>
  <si>
    <t>1.2L</t>
  </si>
  <si>
    <t>KC-CO-8L</t>
  </si>
  <si>
    <t>Bình Khí CO | Bình khí CO | Bình khí chuẩn CO | Bình khí hiệu chuẩn CO | CO calibration gas | Khí CO | Khí chuẩn CO</t>
  </si>
  <si>
    <t>KC-CO-10L</t>
  </si>
  <si>
    <t>Bình khí CO | Khí chuẩn CO</t>
  </si>
  <si>
    <t>KC-CO-20L</t>
  </si>
  <si>
    <t>20L</t>
  </si>
  <si>
    <t>Bình khí hiệu chuẩn CO | Khí chuẩn CO</t>
  </si>
  <si>
    <t>KC-CO-40L</t>
  </si>
  <si>
    <t>CO calibration gas | Khí chuẩn CO</t>
  </si>
  <si>
    <t>KC-CO-50L</t>
  </si>
  <si>
    <t>50L</t>
  </si>
  <si>
    <t>Bình khí hiệu chuẩn CO</t>
  </si>
  <si>
    <t>KC-CO2</t>
  </si>
  <si>
    <t>CO2</t>
  </si>
  <si>
    <t>Khí chuẩn CO2</t>
  </si>
  <si>
    <t>KC-CO2-1L</t>
  </si>
  <si>
    <t>Khí chuẩn CO2 | Khí chuẩn hỗn hợp CO/CO2/NO</t>
  </si>
  <si>
    <t>KC-CO2-8L</t>
  </si>
  <si>
    <t>Bình khí chuẩn CO2 | Khí CO2/O2 | Khí chuẩn CO2</t>
  </si>
  <si>
    <t>KC-CO2-10L</t>
  </si>
  <si>
    <t>Bình khí CO2</t>
  </si>
  <si>
    <t>KC-CO2-40L</t>
  </si>
  <si>
    <t>CO2 calibration gas | Khí chuẩn CO2 | Khí chuẩn hỗn hợp CO/CO2/NO/SO2</t>
  </si>
  <si>
    <t>KC-ETHANOL-40L</t>
  </si>
  <si>
    <t>ETHANOL</t>
  </si>
  <si>
    <t>Khí chuẩn Ethanol (C2H6O)</t>
  </si>
  <si>
    <t>KC-H2-10L</t>
  </si>
  <si>
    <t>H2</t>
  </si>
  <si>
    <t>Khí chuẩn H2</t>
  </si>
  <si>
    <t>KC-H2S</t>
  </si>
  <si>
    <t>H2S</t>
  </si>
  <si>
    <t>Hỗn hợp khí chuẩn CH4/O2/CO/H2S | Khí chuẩn H2S | Khí chuẩn hỗn hợp 
CH4/O2/CO/H2S</t>
  </si>
  <si>
    <t>KC-H2S-10L</t>
  </si>
  <si>
    <t>Khí chuẩn H2S</t>
  </si>
  <si>
    <t>KC-HCL-8L</t>
  </si>
  <si>
    <t>HCL</t>
  </si>
  <si>
    <t>Bình Khí HCL | Bình khí HCL | Bình khí chuẩn HCL | Bình khí hiệu chuẩn HCL | HCL calibration gas | Khí HCL | Khí chuẩn HCL | Khí chuẩn HCl</t>
  </si>
  <si>
    <t>KC-HCL-10L</t>
  </si>
  <si>
    <t>Bình HCL | Bình khí HCL | Bình khí chuẩn hỗn hợp HCl | Khí chuẩn HCL | Khí chuẩn HCl</t>
  </si>
  <si>
    <t>KC-HCL-40L</t>
  </si>
  <si>
    <t>Bình khí HCl | Khí chuẩn HCL</t>
  </si>
  <si>
    <t>KC-HF-8L</t>
  </si>
  <si>
    <t>HF</t>
  </si>
  <si>
    <t>Bình HF | Bình Khi HF | Bình khí HF | Bình khí chuẩn HF | Khí chuẩn HF</t>
  </si>
  <si>
    <t>KC-HF-10L</t>
  </si>
  <si>
    <t>Khí chuẩn HF</t>
  </si>
  <si>
    <t>KC-HF-30L</t>
  </si>
  <si>
    <t>30L</t>
  </si>
  <si>
    <t>KC-HI-8L</t>
  </si>
  <si>
    <t>HI</t>
  </si>
  <si>
    <t>Khí hiệu chuẩn đa chỉ tiêu</t>
  </si>
  <si>
    <t>KC-N2</t>
  </si>
  <si>
    <t>N2</t>
  </si>
  <si>
    <t>Bình khí N2 | Khí chuẩn N2</t>
  </si>
  <si>
    <t>KC-N2-8L</t>
  </si>
  <si>
    <t>Bình khí N2 | Bình khí chuẩn N2 | Khí chuẩn N2</t>
  </si>
  <si>
    <t>KC-N2-10L</t>
  </si>
  <si>
    <t>Bình Khí N2 | Bình khí N2 | Khí N2 | Khí chuẩn N2 | N2 calibration gas</t>
  </si>
  <si>
    <t>KC-N2-40L</t>
  </si>
  <si>
    <t>Khí chuẩn N2</t>
  </si>
  <si>
    <t>KC-N2-103L</t>
  </si>
  <si>
    <t>103L</t>
  </si>
  <si>
    <t>Bình khí 6D 99.99% N2</t>
  </si>
  <si>
    <t>KC-NH3</t>
  </si>
  <si>
    <t>NH3</t>
  </si>
  <si>
    <t>Khí hỗn hợp Ar/He/N2/NH3</t>
  </si>
  <si>
    <t>KC-NH3-8L</t>
  </si>
  <si>
    <t>Bình khi NH3 | Bình khí chuẩn hỗn hợp NH3 | Khí NH3 | Khí chuẩn NH3</t>
  </si>
  <si>
    <t>KC-NH3-10L</t>
  </si>
  <si>
    <t>Bình khí NH3 | Bình khí chuẩn hỗn hợp NH3 | Bình khí hiệu chuẩn NH3 | Khí chuẩn NH3</t>
  </si>
  <si>
    <t>KC-NH3-20L</t>
  </si>
  <si>
    <t>Khí chuẩn NH3</t>
  </si>
  <si>
    <t>KC-NH3-30L</t>
  </si>
  <si>
    <t>KC-NO</t>
  </si>
  <si>
    <t>NO</t>
  </si>
  <si>
    <t>Khí chuẩn NO</t>
  </si>
  <si>
    <t>KC-NO-1L</t>
  </si>
  <si>
    <t>KC-NO-1.2L</t>
  </si>
  <si>
    <t>KC-NO-8L</t>
  </si>
  <si>
    <t>Bình Khí NO | Bình khí NO | Bình khí chuẩn NO | Bình khí hiệu chuẩn NO | Khí NO | Khí chuẩn CO/NO | Khí chuẩn NO | NO calibration gas</t>
  </si>
  <si>
    <t>KC-NO-10L</t>
  </si>
  <si>
    <t>KC-NO-20L</t>
  </si>
  <si>
    <t>Bình khí hiệu chuẩn NO | Khí chuẩn NO</t>
  </si>
  <si>
    <t>KC-NO-40L</t>
  </si>
  <si>
    <t>Khí chuẩn NO | NO calibration gas</t>
  </si>
  <si>
    <t>KC-NO-50L</t>
  </si>
  <si>
    <t>Bình khí hiệu chuẩn NO</t>
  </si>
  <si>
    <t>KC-NO2</t>
  </si>
  <si>
    <t>NO2</t>
  </si>
  <si>
    <t>Bình khí chuẩn NO2 | Khí chuẩn NO2</t>
  </si>
  <si>
    <t>KC-NO2-1L</t>
  </si>
  <si>
    <t>Khí NO2 | Khí chuẩn NO2</t>
  </si>
  <si>
    <t>KC-NO2-1.2L</t>
  </si>
  <si>
    <t>Khí chuẩn NO2</t>
  </si>
  <si>
    <t>KC-NO2-8L</t>
  </si>
  <si>
    <t>Bình Khí NO2 | Bình khí NO2 | Bình khí chuẩn NO2 | Bình khí hiệu chuẩn NO2 | Khí chuẩn NO2</t>
  </si>
  <si>
    <t>KC-NO2-10L</t>
  </si>
  <si>
    <t>KC-NO2-40L</t>
  </si>
  <si>
    <t>KC-NO2-47.5L</t>
  </si>
  <si>
    <t>47.5L</t>
  </si>
  <si>
    <t>KC-O2</t>
  </si>
  <si>
    <t>O2</t>
  </si>
  <si>
    <t>Bình Khí chuẩn O2 | Khí chuẩn O2</t>
  </si>
  <si>
    <t>KC-O2-1L</t>
  </si>
  <si>
    <t>Khí chuẩn O2</t>
  </si>
  <si>
    <t>KC-O2-1.2L</t>
  </si>
  <si>
    <t>KC-O2-4L</t>
  </si>
  <si>
    <t>4L</t>
  </si>
  <si>
    <t>Bình Khí chuẩn O2</t>
  </si>
  <si>
    <t>KC-O2-8L</t>
  </si>
  <si>
    <t>Bình Khí Chuẩn O2 | Bình Khí O2 | Bình O2 | Bình khí O2 | Bình khí chuẩn O2 | Bình khí hiệu chuẩn O2 | Khí O2 | Khí chuẩn O2 | O2 calibration gas</t>
  </si>
  <si>
    <t>KC-O2-10L</t>
  </si>
  <si>
    <t>Bình Khí Chuẩn O2 | Bình khí chuẩn O2 | Bình khí chuẫn hỗn hợp CO/O2 | Bình khí hiệu chuẩn O2 | Khí chuẩn O2</t>
  </si>
  <si>
    <t>KC-O2-40L</t>
  </si>
  <si>
    <t>Khí O2 | Khí chuẩn O2 | O2 calibration gas</t>
  </si>
  <si>
    <t>KC-OXY-8L</t>
  </si>
  <si>
    <t>OXY</t>
  </si>
  <si>
    <t>Bình khí Oxy</t>
  </si>
  <si>
    <t>KC-OXY-40L</t>
  </si>
  <si>
    <t>Khí Oxy tinh khiết</t>
  </si>
  <si>
    <t>KC-SF6-10L</t>
  </si>
  <si>
    <t>SF6</t>
  </si>
  <si>
    <t>Khí SF6</t>
  </si>
  <si>
    <t>KC-SO2</t>
  </si>
  <si>
    <t>SO2</t>
  </si>
  <si>
    <t>Khí chuẩn SO2</t>
  </si>
  <si>
    <t>KC-SO2-1L</t>
  </si>
  <si>
    <t>KC-SO2-8L</t>
  </si>
  <si>
    <t>Bình Khí SO2 | Bình khí Hỗn Hợp CO/SO2/NO | Bình khí SO2 | Bình khí chuẩn SO2 | Bình khí hiệu chuẩn SO2 | Bình khí hiệu chuẩn hỗn hợp NO/CO/SO2 | Khí SO2 | Khí chuẩn SO2</t>
  </si>
  <si>
    <t>KC-SO2-10L</t>
  </si>
  <si>
    <t>Bình Khí Chuẩn SO2 | Bình khí SO2 | Bình khí chuẫn hỗn hợp NO/SO2 | Bình khí hiệu chuẩn hỗn hợp  CO/NO/SO2 | Bình khí hỗn hợp NO, SO2, CO | Khí chuẩn SO2</t>
  </si>
  <si>
    <t>KC-SO2-20L</t>
  </si>
  <si>
    <t>Bình khí hiệu chuẩn SO2 | Khí chuẩn SO2</t>
  </si>
  <si>
    <t>KC-SO2-40L</t>
  </si>
  <si>
    <t>Khí chuẩn SO2 | SO2 calibration gas</t>
  </si>
  <si>
    <t>KC-SO2-47L</t>
  </si>
  <si>
    <t>47L</t>
  </si>
  <si>
    <t>Bình khí NO/SO2 | Bình khí hỗn hợp NO, CO, SO2</t>
  </si>
  <si>
    <t>KC-SO2-50L</t>
  </si>
  <si>
    <t>Bình khí hiệu chuẩn hỗn hợp  CO/NO/SO2</t>
  </si>
  <si>
    <t>KC-SO2NOCO</t>
  </si>
  <si>
    <t>SO2/NO/CO</t>
  </si>
  <si>
    <t>Khí chuẩn hỗn hợp SO2/NO/CO</t>
  </si>
  <si>
    <t>KC-SO2NOCO-1L</t>
  </si>
  <si>
    <t>Khí chuẩn hỗn hợp SO2/NO/CO | Khí hỗn hợp SO2/NO/CO</t>
  </si>
  <si>
    <t>KC-SO2NOCO-8L</t>
  </si>
  <si>
    <t>Bình khí chuẩn SO2/NO/CO | Bình khí chuẩn hỗn hợp SO2/NO/CO | Bình khí hiệu chuẩn hỗn hợp SO2/NO/CO | Bình khí hỗn hợp SO2/NO/CO | Khí chuẩn SO2/NO/CO | Khí chuẩn hỗn hợp SO2/NO/CO | Khí hỗn hợp SO2/NO/CO | Mixed gas SO2/NO/CO</t>
  </si>
  <si>
    <t>KC-SO2NOCO-10L</t>
  </si>
  <si>
    <t>Bình khí hỗn hợp SO2/NO/CO | Khí chuẩn SO2/NO/CO | Khí chuẩn hỗn hợp SO2/NO/CO</t>
  </si>
  <si>
    <t>KC-SO2NOCO-20L</t>
  </si>
  <si>
    <t>KC-SO2NOCO-40L</t>
  </si>
  <si>
    <t>Bình khí hỗn hợp SO2/NO/CO | Khí chuẩn hỗn hợp SO2/NO/CO</t>
  </si>
  <si>
    <t>KC-SO2NOCO-47L</t>
  </si>
  <si>
    <t>Bình khí hỗn hợp SO2/NO/CO</t>
  </si>
  <si>
    <t>KC-SO2NOCO-47.5L</t>
  </si>
  <si>
    <t>KC-TO-10L</t>
  </si>
  <si>
    <t>TO</t>
  </si>
  <si>
    <t>Khí chuẩn Toàn Tiếng TQ</t>
  </si>
  <si>
    <t>KC-TOLUENE-8L</t>
  </si>
  <si>
    <t>TOLUENE</t>
  </si>
  <si>
    <t>Khí chuẩn Toluene</t>
  </si>
  <si>
    <t>KC-VAN</t>
  </si>
  <si>
    <t>VAN</t>
  </si>
  <si>
    <t>Van</t>
  </si>
  <si>
    <t>TB-KHAC</t>
  </si>
  <si>
    <t>Thiết bị</t>
  </si>
  <si>
    <t>Bộ van điều áp kèm phụ kiện | Van điều áp | Van điều áp REG | Van điều áp Typhoon | Đồng Hồ Điều Áp | Đồng hồ điều áp | Đồng hồ điều áp + Đầu chuyển | Đồng hồ điều áp+Phụ kiện đi kèm</t>
  </si>
  <si>
    <t>VO-KHAC-1L</t>
  </si>
  <si>
    <t>Vỏ bình</t>
  </si>
  <si>
    <t>Empty bottle 1L | Vỏ bình Vỏ</t>
  </si>
  <si>
    <t>VO-KHAC-8L</t>
  </si>
  <si>
    <t>Empty bottle 8L</t>
  </si>
  <si>
    <t>VO-KHAC-10L</t>
  </si>
  <si>
    <t>10L empty bottle | Empty bottle 10L | Vỏ bình Vỏ màu hồng đã kiểm định</t>
  </si>
  <si>
    <t>VO-KHAC-20L</t>
  </si>
  <si>
    <t>Vỏ bình Vỏ</t>
  </si>
  <si>
    <t>VO-KHAC-30L</t>
  </si>
  <si>
    <t>VO-KHAC-40L</t>
  </si>
  <si>
    <t>Empty bottle 40L</t>
  </si>
  <si>
    <t>VO-KHAC-47L</t>
  </si>
  <si>
    <t>Empty bottle 47L</t>
  </si>
  <si>
    <t>VO-NHOM</t>
  </si>
  <si>
    <t>NHOM</t>
  </si>
  <si>
    <t>Vỏ bình Vỏ nhôm</t>
  </si>
  <si>
    <t>VO-NHOM-1L</t>
  </si>
  <si>
    <t>Bình chứa khí nén bằng nhôm (bình rỗng) , dung tích 1 lít, mới 100%.</t>
  </si>
  <si>
    <t>VO-NHOM-8L</t>
  </si>
  <si>
    <t>Vỏ bình Nhôm | Vỏ bình Vỏ nhôm</t>
  </si>
  <si>
    <t>VO-NHOM-10L</t>
  </si>
  <si>
    <t>VO-NHOM-40L</t>
  </si>
  <si>
    <t>VO-NHOM-50L</t>
  </si>
  <si>
    <t>Vỏ bình Vỏ nhôm | Vỏ nhôm 50L</t>
  </si>
  <si>
    <t>VO-THEP-10L</t>
  </si>
  <si>
    <t>THEP</t>
  </si>
  <si>
    <t>Vỏ bình Vỏ thép</t>
  </si>
  <si>
    <t>VO-THEP-40L</t>
  </si>
  <si>
    <t>Vỏ bình Vỏ thép | Vỏ bình thép</t>
  </si>
  <si>
    <t>DANH MỤC HỢP ĐỒNG BÁN</t>
  </si>
  <si>
    <t>130 hợp đồng.</t>
  </si>
  <si>
    <t>MÃ HỢP ĐỒNG</t>
  </si>
  <si>
    <t>876/2025/HĐSXKD-CP</t>
  </si>
  <si>
    <t>2025/2609/OMV - DEAHAN</t>
  </si>
  <si>
    <t>251022/HĐKT/OMV-CNCT</t>
  </si>
  <si>
    <t>251028/HĐKT/OMV-KNK</t>
  </si>
  <si>
    <t>251118/HĐKT/OMV-MTTĐ</t>
  </si>
  <si>
    <t>251118/HĐKT/OMV-MTLA</t>
  </si>
  <si>
    <t>11-18/2/2025/HĐ-KHĐT</t>
  </si>
  <si>
    <t>251203/HĐKT/OMV-HGQ</t>
  </si>
  <si>
    <t>251209/HĐKT/OMV-SESE</t>
  </si>
  <si>
    <t>ĐƠN HÀNG NGÀY 13/12/2025-OMV-GPVN</t>
  </si>
  <si>
    <t>251215/HĐKT/OMV-TN</t>
  </si>
  <si>
    <t>251218/HĐKT/OMV-TNK</t>
  </si>
  <si>
    <t>PURCHASE ORDER WEP-2512-550</t>
  </si>
  <si>
    <t>251223/HĐKT/OMV-MTX</t>
  </si>
  <si>
    <t>251225/HĐKT/OMV-CNTP</t>
  </si>
  <si>
    <t>251229/HĐKT/OMV-VTKTDD</t>
  </si>
  <si>
    <t>251230/HĐKT/OMV-MTBN</t>
  </si>
  <si>
    <t>251231/HĐKT/OMV-TT</t>
  </si>
  <si>
    <t>TJ-OM-121225</t>
  </si>
  <si>
    <t>01/05/HD- DHYHN</t>
  </si>
  <si>
    <t>260414/HĐKT/PTG-MECIE-TTQ</t>
  </si>
  <si>
    <t>260415/HĐKT/PTG-MECIE-CNX</t>
  </si>
  <si>
    <t>260416/HĐKT/PTG-MECIE-NND</t>
  </si>
  <si>
    <t>260417/HĐKT/PTG-MECIE-DT</t>
  </si>
  <si>
    <t>260422/HĐKT/PTG-MECIE-VXM</t>
  </si>
  <si>
    <t>260413/HĐKT/PTG-HB</t>
  </si>
  <si>
    <t>260423/HĐKT/PTG-MTLA</t>
  </si>
  <si>
    <t>260423/HĐKT/PTG-BSG</t>
  </si>
  <si>
    <t>260424/HĐKT/PTG-CNCHB</t>
  </si>
  <si>
    <t>260407/HĐKT/OMV-VNST</t>
  </si>
  <si>
    <t>1305/2026/HĐMB-PTG-OCI</t>
  </si>
  <si>
    <t>260430/HĐKT/PTG-ENVITECH</t>
  </si>
  <si>
    <t>260502/HĐKT/PTG-ENVITECH</t>
  </si>
  <si>
    <t>260509/HĐKT/PTG-ENVITECH</t>
  </si>
  <si>
    <t>260303/HĐKT/PTG-ENVITECH</t>
  </si>
  <si>
    <t>260617/HĐKT/PTG-VEC</t>
  </si>
  <si>
    <t>260618/HĐKT/PTG-SETECH</t>
  </si>
  <si>
    <t>260708/HĐKT/PTG-TMPM</t>
  </si>
  <si>
    <t>260205/HĐKT/OMV-TSL</t>
  </si>
  <si>
    <t>12032026-MECIE-OMV</t>
  </si>
  <si>
    <t>13032026-MECIE-OMV</t>
  </si>
  <si>
    <t>14032026-MECIE-OMV</t>
  </si>
  <si>
    <t>15032026-MECIE-OMV</t>
  </si>
  <si>
    <t>31032026-MECIE-OMV</t>
  </si>
  <si>
    <t>260105/HĐKT/OMV-ATH</t>
  </si>
  <si>
    <t>260106/HĐKT/OMV-ĐNALC</t>
  </si>
  <si>
    <t>260106/HĐKT/OMV-CNCHB</t>
  </si>
  <si>
    <t>260107/ĐH/OMV-CN</t>
  </si>
  <si>
    <t>XÁC NHẬN BÁO GIÁ SỐ NLHH-0701</t>
  </si>
  <si>
    <t>260108/HĐKT/OMV-MKB</t>
  </si>
  <si>
    <t>260109/HĐKT/OMV-SESE</t>
  </si>
  <si>
    <t>260110/HĐKT/OMV-SESE</t>
  </si>
  <si>
    <t>260901/HĐKT/OMV-HTCVN</t>
  </si>
  <si>
    <t>07/01/2026-OMV-MTTT</t>
  </si>
  <si>
    <t>260112/HĐKT/OMV-CECE</t>
  </si>
  <si>
    <t>260112/HĐKT/OMV-LK</t>
  </si>
  <si>
    <t>260119/HĐKT/OMV-IESH</t>
  </si>
  <si>
    <t>23/01/2026-OMV-HACOM</t>
  </si>
  <si>
    <t>260126/HĐKT/OMV-SESE</t>
  </si>
  <si>
    <t>260113/HĐKT/OMV-CNVMT</t>
  </si>
  <si>
    <t>BÁO GIÁ 06/01/2026</t>
  </si>
  <si>
    <t>BÁO GIÁ 30/01/2026</t>
  </si>
  <si>
    <t>260204/HĐKT/OMV-VIELINA</t>
  </si>
  <si>
    <t>260227/HĐKT/OMV-CNGS</t>
  </si>
  <si>
    <t>03/05/2026-OMV-KTNH</t>
  </si>
  <si>
    <t>BÁO GIÁ 11/03/2026-OMV-PRM</t>
  </si>
  <si>
    <t>260311/HĐKT/OMV-TNĐ</t>
  </si>
  <si>
    <t>260305/HĐKT/HTCVN-OMV</t>
  </si>
  <si>
    <t>BÁO GIÁ NGÀY 02/03/2026</t>
  </si>
  <si>
    <t>BÁO GIÁ NGÀY 18/03/2026</t>
  </si>
  <si>
    <t>260316/HĐKT/OMV-PVKH</t>
  </si>
  <si>
    <t>260310/HĐKT/OMV-TTSXS</t>
  </si>
  <si>
    <t>230326/HĐKT/OMV-MKG</t>
  </si>
  <si>
    <t>260324/HĐKT/OMV-NSX</t>
  </si>
  <si>
    <t>EVN000022</t>
  </si>
  <si>
    <t>260316/HĐKT/OMV-TTCNMT</t>
  </si>
  <si>
    <t>260327/HĐMB/OMV-LVT</t>
  </si>
  <si>
    <t>260319/HĐKT/OMV-PLNCLC</t>
  </si>
  <si>
    <t>260328/HĐKT/OMV-CNX</t>
  </si>
  <si>
    <t>260327/HĐKT/OMV-XDHP</t>
  </si>
  <si>
    <t>2260331/HĐKT/OMV-DAP</t>
  </si>
  <si>
    <t>SỐ BÁO GIÁ STL-0704</t>
  </si>
  <si>
    <t>SỐ BÁO GIÁ BSG-0904</t>
  </si>
  <si>
    <t>2260407/HĐKT/OMV-SFC</t>
  </si>
  <si>
    <t>07226/HĐKT/OMV-VATCOM</t>
  </si>
  <si>
    <t>260406/HĐKT/OMV-XMYB</t>
  </si>
  <si>
    <t>08226/HĐKT/OMV-VATCOM</t>
  </si>
  <si>
    <t>4500138677/0</t>
  </si>
  <si>
    <t>ĐH 260425-OMV-STELLA</t>
  </si>
  <si>
    <t>260505/HĐKT/OMV-INTEC</t>
  </si>
  <si>
    <t>268/2026/HĐKT/QNC-OXYM</t>
  </si>
  <si>
    <t>VN-CY-XY-2605-4500667429</t>
  </si>
  <si>
    <t>VN-CY-XY-2605-4500668737</t>
  </si>
  <si>
    <t>260512/HĐKT/OMV-MTTT</t>
  </si>
  <si>
    <t>260512-OMV-INDURIS</t>
  </si>
  <si>
    <t>260519/HĐKT/OMV-CNCT</t>
  </si>
  <si>
    <t>TJ-OMV-200526</t>
  </si>
  <si>
    <t>260521-OMV-ALPC-GTA</t>
  </si>
  <si>
    <t>260520/HĐKT/OMV-GKN</t>
  </si>
  <si>
    <t>260527/HĐKT/OMV-PPVVN</t>
  </si>
  <si>
    <t>260528/HĐKT/OMV-PRM</t>
  </si>
  <si>
    <t>280529/HĐKT/OMV-NLX</t>
  </si>
  <si>
    <t>260529/HĐKT/OMV-MGL</t>
  </si>
  <si>
    <t>260603/HĐKT/OMV-MTBN</t>
  </si>
  <si>
    <t>260602/HĐKT/OMV-MTBN</t>
  </si>
  <si>
    <t>02062026LT-OMV</t>
  </si>
  <si>
    <t>260616/HĐKT/OMV-VMA</t>
  </si>
  <si>
    <t>1/1106/2026/HĐ-NĐUB-OMV</t>
  </si>
  <si>
    <t>4500142421/0</t>
  </si>
  <si>
    <t>1389/2026/HPDQ-OMV</t>
  </si>
  <si>
    <t>GBE-01</t>
  </si>
  <si>
    <t>260617/HĐKT/OMV-HPHY</t>
  </si>
  <si>
    <t>260630/HĐKT/OMV-VIELINA</t>
  </si>
  <si>
    <t>260701/HĐKT/OMV-ENVITECH</t>
  </si>
  <si>
    <t>BÁO GIÁ NSX-01</t>
  </si>
  <si>
    <t>260709/HĐKT/OMV-MTX</t>
  </si>
  <si>
    <t>260710/HĐKT/OMV-HTCVN</t>
  </si>
  <si>
    <t>260715/HĐKT/OMV-LVT</t>
  </si>
  <si>
    <t>24/07/2026-OMV-VT</t>
  </si>
  <si>
    <t>BÁO GIÁ CTI-01</t>
  </si>
  <si>
    <t>ĐƠN ĐẶT HÀNG NGÀY 30/07/26</t>
  </si>
  <si>
    <t>260724/HĐKT/OMV-GKN</t>
  </si>
  <si>
    <t>ĐH 06/07/2026-OMV-GTA</t>
  </si>
  <si>
    <t>260721/HĐKT/OMV-VNST</t>
  </si>
  <si>
    <t>14072026/HĐKT/OMV-TAT</t>
  </si>
  <si>
    <t>ĐH TJ-OMV-060826</t>
  </si>
  <si>
    <t>260812/HĐKT/OMV-TMC</t>
  </si>
  <si>
    <t>747HP/VIS-OMV/MH/2026</t>
  </si>
  <si>
    <t>260813/HĐKT/OMV-XMDD</t>
  </si>
  <si>
    <t>260821/HĐKT/OMV-TTĐ</t>
  </si>
  <si>
    <t>NHẬP KHO — mỗi dòng hóa đơn là một LÔ</t>
  </si>
  <si>
    <t>47 lô từ 2 hóa đơn Phú Tài Miền Nam. Mã lô ở cột C là khóa để trừ kho.</t>
  </si>
  <si>
    <t>Ngày</t>
  </si>
  <si>
    <t>Số hóa đơn</t>
  </si>
  <si>
    <t>MÃ LÔ</t>
  </si>
  <si>
    <t>Nhà cung cấp</t>
  </si>
  <si>
    <t>Dòng HĐ</t>
  </si>
  <si>
    <t>Quy cách / nồng độ theo hóa đơn</t>
  </si>
  <si>
    <t>SL nhập</t>
  </si>
  <si>
    <t>Đơn giá chưa VAT</t>
  </si>
  <si>
    <t>Thành tiền</t>
  </si>
  <si>
    <t>VAT %</t>
  </si>
  <si>
    <t>Ghi chú</t>
  </si>
  <si>
    <t>HĐ 259</t>
  </si>
  <si>
    <t>L259-01</t>
  </si>
  <si>
    <t>Phú Tài Miền Nam</t>
  </si>
  <si>
    <t>Khí chuẩn Oxi (=&lt;23%), cân bằng Nitơ (&gt;77%), thể tích 10 lít - bình nhôm, mới 100%.</t>
  </si>
  <si>
    <t>L259-02</t>
  </si>
  <si>
    <t>Khí chuẩn Hydrogen fluoride (0.0001-0.01 %) , cân bằng Nitơ (99.99-99.9999 %), thể tích 30 lít - bình nhôm, mới 100%.</t>
  </si>
  <si>
    <t>L259-03</t>
  </si>
  <si>
    <t>Khí chuẩn Amonia (0.00001%-0.9999%), cân bằng Nitơ (99.99-99.9999 %), thể tích 30 lít - bình nhôm, mới 100%.</t>
  </si>
  <si>
    <t>L259-04</t>
  </si>
  <si>
    <t>L259-05</t>
  </si>
  <si>
    <t>Khí chuẩn Oxi (=&lt;23%), cân bằng Nitơ (&gt; 77%), thể tích 8 lít - bình nhôm, mới 100%</t>
  </si>
  <si>
    <t>L259-06</t>
  </si>
  <si>
    <t>Khí Sulfur dioxide (0.00001-0.6%), Nitric oxide (0.00001-0.21%), Carbon monoxide (0.0001- 0.9999%), Nitrogen(98.1901-99.9998%), thể tích 8lít - bình nhôm, mới 100%.</t>
  </si>
  <si>
    <t>L259-07</t>
  </si>
  <si>
    <t>Khí chuẩn Nitrogen dioxide (0.01%), cân bằng Nitrogen(99.99%), thể tích 10 lít - bình nhôm,mới 100%.</t>
  </si>
  <si>
    <t>L259-08</t>
  </si>
  <si>
    <t>Khí chuẩn Hidrogen Sulfide (0.00001%-0.9999%), cân bằng Nitrogen (99.99-99.9999 %), thể tích 10 lít - bình nhôm, mới 100%</t>
  </si>
  <si>
    <t>L259-09</t>
  </si>
  <si>
    <t>Khí chuẩn hỗn hợp Sulfur dioxide (0.00001-0.6%), cân bằng Nitrogen (99.99999-99.4 %), thể tích 10 lít - bình nhôm, mới 100%</t>
  </si>
  <si>
    <t>L259-10</t>
  </si>
  <si>
    <t>Khí chuẩn hỗn hợp Carbon monoxide (0.0001- 0.9999%), cân bằng Nitrogen (99,9999-99,0001%), thể tích 20 lít - bình nhôm, mới 100%</t>
  </si>
  <si>
    <t>L259-11</t>
  </si>
  <si>
    <t>Khí chuẩn hỗn hợp Nitric oxide (0.00001-0.21%), cân bằng Nitrogen (98.1901-99.9998%), thể tích 20 lít - bình nhôm, mới 100%</t>
  </si>
  <si>
    <t>L259-12</t>
  </si>
  <si>
    <t>Khí chuẩn hỗn hợp Sulfur dioxide (0.00001-0.6%), cân bằng Nitrogen (99.99999-99.4 %), thể tích 20 lít - bình nhôm, mới 100%</t>
  </si>
  <si>
    <t>L259-13</t>
  </si>
  <si>
    <t>Khí chuẩn hỗn hợp Sulfur dioxide (0.00001-0.6%), cân bằng Nitrogen (99.99999-99.4 %), thể tích 8 lít - bình nhôm, mới 100%</t>
  </si>
  <si>
    <t>L259-14</t>
  </si>
  <si>
    <t>Khí chuẩn hỗn hợp Nitric oxide (0.00001-0.21%), cân bằng Nitrogen (98.1901-99.9998%), thể tích 8 lít - bình nhôm, mới 100%</t>
  </si>
  <si>
    <t>L259-15</t>
  </si>
  <si>
    <t>Khí chuẩn Hydrogen fluoride (0.0001-0.01 %) , cân bằng Nitơ (99.99-99.9999 %), thể tích 8 lít - bình nhôm, mới 100%</t>
  </si>
  <si>
    <t>L259-16</t>
  </si>
  <si>
    <t>Khí chuẩn Amonia (0.00001%-0.9999%), cân bằng Nitrogen (99.99-99.9999 %), thể tích 8 lít - bình nhôm, mới 100%</t>
  </si>
  <si>
    <t>L259-17</t>
  </si>
  <si>
    <t>Khí Sulfur dioxide (0.00001-0.6%),Nitric oxide (0.00001-0.21%),Carbon monoxide (0.0001- 0.9999%),Nitrogen (98.1901-99.9998%), thể tích 10 lít - bình nhôm, mới 100%.</t>
  </si>
  <si>
    <t>L259-18</t>
  </si>
  <si>
    <t>Khí Sulfur dioxide (0.00001-0.6%), Nitric oxide (0.00001-0.21%), Carbon monoxide (0.0001- 0.9999%),Nitrogen (98.1901-99.9998%), thể tích 8 lít - bình nhôm, mới 100%</t>
  </si>
  <si>
    <t>L259-19</t>
  </si>
  <si>
    <t>Khí chuẩn Hydrogen Chloride (0.0001%-0.02%) , cân bằng Nitrogen (99.98%-99.9999 %), thể tích 8 lít - bình nhôm,mới 100%</t>
  </si>
  <si>
    <t>HĐ 262</t>
  </si>
  <si>
    <t>L262-01</t>
  </si>
  <si>
    <t>Khí chuẩn hỗn hợp Carbon monoxide (0.0001 -0.9999%), cân bằng Nitrogen (99,9999-99,0001%), thể tích 8 lít - bình nhôm, mới 100%</t>
  </si>
  <si>
    <t>L262-02</t>
  </si>
  <si>
    <t>L262-03</t>
  </si>
  <si>
    <t>Khí chuẩn Nitrogen dioxide (0.01%), cân bằng N2 (99.99%), thể tích 8 lít bình nhôm, mới 100%</t>
  </si>
  <si>
    <t>L262-04</t>
  </si>
  <si>
    <t>L262-05</t>
  </si>
  <si>
    <t>Khí chuẩn hỗn hợp Carbon monoxide (0.0001- 0.9999%), cân bằng Nitrogen (99,9999-99,0001%), thể tích 1 lít - bình nhôm, mới 100%</t>
  </si>
  <si>
    <t>L262-06</t>
  </si>
  <si>
    <t>Khí chuẩn hỗn hợp Nitric oxide (0.00001-0.21%), cân bằng Nitrogen (98.1901-99.9998%), thể tích 1 lít - bình nhôm, mới 100%</t>
  </si>
  <si>
    <t>L262-07</t>
  </si>
  <si>
    <t>Khí chuẩn Nitrogen dioxide (0.01%), cân bằng Nitrogen (99.99%), thể tích 1 lít - bình nhôm,mới 100%</t>
  </si>
  <si>
    <t>L262-08</t>
  </si>
  <si>
    <t>Khí chuẩn hỗn hợp Sulfur dioxide (0.00001-0.6%), cân bằng Nitrogen (99.99999-99.4 %), thể tích 1 lít - bình nhôm, mới 100%</t>
  </si>
  <si>
    <t>L262-09</t>
  </si>
  <si>
    <t>Khí chuẩn Oxi (=&lt;23%), cân bằng Nitơ (&gt; 77%), thể thích 1 lít - bình nhôm, mới 100%</t>
  </si>
  <si>
    <t>L262-10</t>
  </si>
  <si>
    <t>Khí chuẩn Carbon Dioxide (10%), cân bằng Nitrogen (&gt; 90%), thể tích 1 lít- bình nhôm, mới 100%</t>
  </si>
  <si>
    <t>L262-11</t>
  </si>
  <si>
    <t>Khí Sulfur dioxide (0.00001-0.6%), Nitric oxide (0.00001-0.21%),Carbon monoxide (0.0001- 0.9999%),Nitrogen (98.1901-99.9998%), thể tích 1 lít - bình nhôm, mới 100%</t>
  </si>
  <si>
    <t>L262-12</t>
  </si>
  <si>
    <t>Khí Sulfur dioxide (0.00001-0.6%), Nitric oxide (0.00001-0.21%), Carbon monoxide (0.0001- 0.9999%),Nitrogen (98.1901-99.9998%), thể tích 10 lít - bình nhôm, mới 100%</t>
  </si>
  <si>
    <t>L262-13</t>
  </si>
  <si>
    <t>Khí Sulfur dioxide (0.00001-0.6%), Nitric oxide (0.00001-0.21%), Carbon monoxide (0.0001- 0.9999%), Nitrogen (98.1901-99.9998%), thể tích 10 lít - bình nhôm, mới 100%</t>
  </si>
  <si>
    <t>L262-14</t>
  </si>
  <si>
    <t>Khí chuẩn Hydrogen fluoride (0.0001-0.01 %) , cân bằng Nitơ (99.99-99.9999 %), thể tích 10 lít - bình nhôm, mới 100%</t>
  </si>
  <si>
    <t>L262-15</t>
  </si>
  <si>
    <t>L262-16</t>
  </si>
  <si>
    <t>Khí chuẩn Amonia (0.00001%-0.9999%), cân bằng Nitơ (99.99-99.9999 %), thể tích 10 lít - bình nhôm, mới 100%</t>
  </si>
  <si>
    <t>L262-17</t>
  </si>
  <si>
    <t>L262-18</t>
  </si>
  <si>
    <t>Khí chuẩn Hydrogen Chloride (0.0001%-0.02%) , cân bằng Nitrogen (99.98%-99.9999 %), thể tích 40l bình nhôm,mới 100%</t>
  </si>
  <si>
    <t>L262-19</t>
  </si>
  <si>
    <t>Khí Sulfur dioxide (0.00001-0.6%),Nitric oxide (0.00001-0.21%), Carbon monoxide (0.0001- 0.9999%),Nitrogen (98.1901-99.9998%),thể tích 8 lít - bình nhôm, mới 100%</t>
  </si>
  <si>
    <t>L262-20</t>
  </si>
  <si>
    <t>Khí Sulfur dioxide (0.00001-0.6%),Nitric oxide (0.00001-0.21%), Carbon monoxide (0.0001- 0.9999%), Nitrogen (98.1901-99.9998%), thể tích 8 lít - bình nhôm, mới 100%</t>
  </si>
  <si>
    <t>L262-21</t>
  </si>
  <si>
    <t>L262-22</t>
  </si>
  <si>
    <t>Khí Sulfur dioxide (0.00001-0.6%),Nitric oxide (0.00001-0.21%), Carbon monoxide (0.0001- 0.9999%),Nitrogen (98.1901-99.9998%), thể tích 8 lít - bình nhôm, mới 100%</t>
  </si>
  <si>
    <t>L262-23</t>
  </si>
  <si>
    <t>Khí chuẩn Hydrogen Chloride (0.0001%-0.02%) , cân bằng Nitơ (99.98%-99.9999 %), thể tích 10 lít - bình nhôm, mới 100%</t>
  </si>
  <si>
    <t>L262-24</t>
  </si>
  <si>
    <t>Khí chuẩn Hydrogen Chloride (0.0001%-0.02%) , cân bằng Nitơ (99.98%-99.9999 %), thể tích 10 lít - bình nhôm,mới 100%</t>
  </si>
  <si>
    <t>L262-25</t>
  </si>
  <si>
    <t>L262-26</t>
  </si>
  <si>
    <t>Bình chứa khí nén bằng nhôm (bình rỗng), dung tích 8 lít, mới 100%.</t>
  </si>
  <si>
    <t>L262-27</t>
  </si>
  <si>
    <t>Bình chứa khí nén bằng nhôm (bình rỗng), dung tích 10l ít, mới 100%</t>
  </si>
  <si>
    <t>L262-28</t>
  </si>
  <si>
    <t>Bình chứa khí nén bằng nhôm (bình rỗng), dung tích 50 lít, mới 100%</t>
  </si>
  <si>
    <t>CỘNG</t>
  </si>
  <si>
    <t>XUẤT KHO — trừ kho và chia cho hợp đồng</t>
  </si>
  <si>
    <t>Mỗi lần xuất một dòng. Chọn MÃ LÔ và MÃ HỢP ĐỒNG từ dropdown, điền số lượng. Giá vốn tự lấy theo lô.</t>
  </si>
  <si>
    <t>Ngày xuất</t>
  </si>
  <si>
    <t>Số phiếu xuất</t>
  </si>
  <si>
    <t>MÃ HỢP ĐỒNG BÁN</t>
  </si>
  <si>
    <t>Tên hàng ghi trên hợp đồng (nhập tay)</t>
  </si>
  <si>
    <t>SL xuất</t>
  </si>
  <si>
    <t>Đơn giá vốn (tự lấy theo lô)</t>
  </si>
  <si>
    <t>Quy cách của lô</t>
  </si>
  <si>
    <t>GIÁ VỐN XUẤT</t>
  </si>
  <si>
    <t>Mã hàng</t>
  </si>
  <si>
    <t>TỒN KHO THEO LÔ</t>
  </si>
  <si>
    <t>Nhập − Xuất = Tồn. Cột cảnh báo báo đỏ nếu xuất quá số nhập.</t>
  </si>
  <si>
    <t>Ngày nhập</t>
  </si>
  <si>
    <t>Quy cách / nồng độ</t>
  </si>
  <si>
    <t>SL đã xuất</t>
  </si>
  <si>
    <t>TỒN</t>
  </si>
  <si>
    <t>Đơn giá vốn</t>
  </si>
  <si>
    <t>GIÁ TRỊ TỒN</t>
  </si>
  <si>
    <t>TỒN KHO GỘP THEO MÃ HÀNG</t>
  </si>
  <si>
    <t>So với kiểm kê thực tế 19/08/2026. Cùng thứ tự với sheet DM. Mã hàng.</t>
  </si>
  <si>
    <t>Kiểm kê 19/08</t>
  </si>
  <si>
    <t>Lệch</t>
  </si>
  <si>
    <t>GIÁ VỐN HÀNG XUẤT THEO HỢP ĐỒNG BÁN</t>
  </si>
  <si>
    <t>Tự cộng từ sheet Xuất kho.</t>
  </si>
  <si>
    <t>Số bình đã xuất</t>
  </si>
  <si>
    <t>GIÁ VỐN HÀNG XUẤT</t>
  </si>
  <si>
    <t>Số lô đã dùng</t>
  </si>
  <si>
    <t>ÁNH XẠ TÊN HÀNG TRONG HỢP ĐỒNG BÁN → MÃ HÀNG / LÔ</t>
  </si>
  <si>
    <t>270 tên khác nhau đang dùng trong 367 dòng hàng của hợp đồng bán. Máy không tự khớp được vì nồng độ ghi tự do — anh gán tay. Riêng 41 dòng dung dịch chuẩn em gán sẵn mã (DD-PH / DD-AMONI / DD-COD / DD-TSS).</t>
  </si>
  <si>
    <t>Tên hàng trong hợp đồng</t>
  </si>
  <si>
    <t>Nồng độ ghi trong hợp đồng</t>
  </si>
  <si>
    <t>Tổng SL đã bán</t>
  </si>
  <si>
    <t>Số lần xuất hiện</t>
  </si>
  <si>
    <t>MÃ HÀNG (anh gán)</t>
  </si>
  <si>
    <t>MÃ LÔ hay dùng (anh gán)</t>
  </si>
  <si>
    <t>Bình khí hỗn hợp NO, CO, SO2</t>
  </si>
  <si>
    <t>NO 500ppm CO 300 ppm SO2 300ppm</t>
  </si>
  <si>
    <t>Bình khí chuẩn NO2</t>
  </si>
  <si>
    <t>200ppm</t>
  </si>
  <si>
    <t>Đồng hồ điều áp</t>
  </si>
  <si>
    <t>CO 650mg/Nm3 ; SO2 650mg/Nm3 ; NO 980 mg/Nm3</t>
  </si>
  <si>
    <t>Bình khí hỗn hợp NO, SO2, CO</t>
  </si>
  <si>
    <t>NO 600ppm CO 300 ppm SO2 600ppm</t>
  </si>
  <si>
    <t>Bình khí O2</t>
  </si>
  <si>
    <t>0.1</t>
  </si>
  <si>
    <t>Khí hỗn hợp SO2/NO/CO</t>
  </si>
  <si>
    <t>SO2 650mg/m3; ; NO 980mg/m3; ; CO 650mg/m3</t>
  </si>
  <si>
    <t>Bình khí N2</t>
  </si>
  <si>
    <t>0.9999</t>
  </si>
  <si>
    <t>Bình khí hiệu chuẩn hỗn hợp SO2/NO/CO</t>
  </si>
  <si>
    <t>CO 1000 ppm ; SO2 500 ppm ; NO 1200 ppm</t>
  </si>
  <si>
    <t>99.99%</t>
  </si>
  <si>
    <t>Nồng độ CO2: 8.02% ; Nồng độ O2: 17% ;</t>
  </si>
  <si>
    <t>Bình khí chuẩn HCL</t>
  </si>
  <si>
    <t>100mg/Nm3</t>
  </si>
  <si>
    <t>Bình khí chuẩn O2</t>
  </si>
  <si>
    <t>NO: 1000 mg/Nm3 ; SO2: 1000 mg/Nm3 ; CO: 1000 mg/Nm3 ;</t>
  </si>
  <si>
    <t>Bình khí hiệu chuẩn hỗn hợp NO/CO/SO2</t>
  </si>
  <si>
    <t>NO: 469 mg/m3 ; SO2: 1043 mg/m3 ; CO: 368 mg/m3</t>
  </si>
  <si>
    <t>Đồng hồ điều áp+Phụ kiện đi kèm</t>
  </si>
  <si>
    <t>Bình Khí HCL</t>
  </si>
  <si>
    <t>NO: 980 mg/Nm3 ; SO2: 650 mg/Nm3 ; CO: 650 mg/Nm3</t>
  </si>
  <si>
    <t>Bình Khí Chuẩn O2</t>
  </si>
  <si>
    <t>10%</t>
  </si>
  <si>
    <t>Khí O2</t>
  </si>
  <si>
    <t>Khí N2</t>
  </si>
  <si>
    <t>99.999%</t>
  </si>
  <si>
    <t>Khí chuẩn HCL</t>
  </si>
  <si>
    <t>70mg/m3</t>
  </si>
  <si>
    <t>100ppm</t>
  </si>
  <si>
    <t>Dung dịch chuẩn TSS</t>
  </si>
  <si>
    <t>100ml/l</t>
  </si>
  <si>
    <t>Em gán sẵn theo nhóm dung dịch — anh sửa được</t>
  </si>
  <si>
    <t>50ml/l</t>
  </si>
  <si>
    <t>99 %</t>
  </si>
  <si>
    <t>Bình khí HCL</t>
  </si>
  <si>
    <t>100 mg/3</t>
  </si>
  <si>
    <t>500ppm</t>
  </si>
  <si>
    <t>Hỗn hợp khí chuẩn CH4/O2/CO/H2S</t>
  </si>
  <si>
    <t>8AL</t>
  </si>
  <si>
    <t>2.5% CH4 ; 12% O2 ; 150PPM CO ; 25 PPM H2S</t>
  </si>
  <si>
    <t>Dung dịch chuẩn pH 4</t>
  </si>
  <si>
    <t>500mL</t>
  </si>
  <si>
    <t>pH 4</t>
  </si>
  <si>
    <t>Van điều áp</t>
  </si>
  <si>
    <t>Bình khí chuẩn HF</t>
  </si>
  <si>
    <t>30 mg/Nm3</t>
  </si>
  <si>
    <t>CO 500 ppm ; NO 400 ppm ; SO2 500 ppm</t>
  </si>
  <si>
    <t>CO: 1000 ppm ; NO: 1200 ppm ; SO2: 400 ppm</t>
  </si>
  <si>
    <t>CO: 90 ppm ; NO: 80 ppm ; SO2: 250 ppm</t>
  </si>
  <si>
    <t>CO 650mg/m3 ; SO2 650mg/m3 ; NO 980mg/m3</t>
  </si>
  <si>
    <t>CO 6000 ppm ; SO2 500 ppm ; NO 1200 ppm</t>
  </si>
  <si>
    <t>Bình Khí O2</t>
  </si>
  <si>
    <t>Bộ van điều áp kèm phụ kiện</t>
  </si>
  <si>
    <t>50ppm</t>
  </si>
  <si>
    <t>700ppm</t>
  </si>
  <si>
    <t>15%</t>
  </si>
  <si>
    <t>45ppm</t>
  </si>
  <si>
    <t>SO2 500ppm; ; NO 400ppm; ; CO 500ppm</t>
  </si>
  <si>
    <t>Mixed gas SO2/NO/CO</t>
  </si>
  <si>
    <t>O2 calibration gas</t>
  </si>
  <si>
    <t>N2 calibration gas</t>
  </si>
  <si>
    <t>Dung dịch chuẩn pH 7</t>
  </si>
  <si>
    <t>pH 7</t>
  </si>
  <si>
    <t>Dung dịch chuẩn COD 50ppm</t>
  </si>
  <si>
    <t>COD 50ppm</t>
  </si>
  <si>
    <t>Dung dịch chuẩn TSS 100ppm</t>
  </si>
  <si>
    <t>TSS 100ppm</t>
  </si>
  <si>
    <t>Bình HCL</t>
  </si>
  <si>
    <t>139.0</t>
  </si>
  <si>
    <t>100 ppm</t>
  </si>
  <si>
    <t>Dung dịch chuẩn NH4-N 50ppm</t>
  </si>
  <si>
    <t>NH4-N 50ppm</t>
  </si>
  <si>
    <t>CO 500ppm ; CO2 15% ; NO 750ppm</t>
  </si>
  <si>
    <t>Khí NO2</t>
  </si>
  <si>
    <t>99.95%</t>
  </si>
  <si>
    <t>1400 mg/Nm3</t>
  </si>
  <si>
    <t>30-36 mg/Nm3</t>
  </si>
  <si>
    <t>75 mg/Nm3</t>
  </si>
  <si>
    <t>Dung dịch chuẩn pH</t>
  </si>
  <si>
    <t>30 ppm</t>
  </si>
  <si>
    <t>10 ppm</t>
  </si>
  <si>
    <t>150 ppm</t>
  </si>
  <si>
    <t>15 ppm</t>
  </si>
  <si>
    <t>4.0</t>
  </si>
  <si>
    <t>7.0</t>
  </si>
  <si>
    <t>Dung dịch chuẩn COD</t>
  </si>
  <si>
    <t>100mg/L</t>
  </si>
  <si>
    <t>Dung dịch chuẩn NH4</t>
  </si>
  <si>
    <t>12mg/L</t>
  </si>
  <si>
    <t>1300 ppm/m3</t>
  </si>
  <si>
    <t>Bình khí SO2</t>
  </si>
  <si>
    <t>1000 ppm</t>
  </si>
  <si>
    <t>200 mg/3</t>
  </si>
  <si>
    <t>100 mg/m3</t>
  </si>
  <si>
    <t>10.0</t>
  </si>
  <si>
    <t>50 mg/L</t>
  </si>
  <si>
    <t>15 mg/L</t>
  </si>
  <si>
    <t>Vỏ bình thép</t>
  </si>
  <si>
    <t>Bình Khí NO</t>
  </si>
  <si>
    <t>Bình Khi HF</t>
  </si>
  <si>
    <t>Bình khi NH3</t>
  </si>
  <si>
    <t>0.06</t>
  </si>
  <si>
    <t>980/650/650</t>
  </si>
  <si>
    <t>1000/1500/1000</t>
  </si>
  <si>
    <t>90ppm</t>
  </si>
  <si>
    <t>SO2 1500mg/m3; ; NO 1500mg/m3; ; CO 1500mg/m3</t>
  </si>
  <si>
    <t>8%</t>
  </si>
  <si>
    <t>SO2 calibration gas</t>
  </si>
  <si>
    <t>900mg/m3</t>
  </si>
  <si>
    <t>NO calibration gas</t>
  </si>
  <si>
    <t>1200mg/m3</t>
  </si>
  <si>
    <t>CO calibration gas</t>
  </si>
  <si>
    <t>600mg/m3</t>
  </si>
  <si>
    <t>CO2 calibration gas</t>
  </si>
  <si>
    <t>12%</t>
  </si>
  <si>
    <t>0.15</t>
  </si>
  <si>
    <t>HCL calibration gas</t>
  </si>
  <si>
    <t>980mg/m3</t>
  </si>
  <si>
    <t>650mg/m3</t>
  </si>
  <si>
    <t>25ppm</t>
  </si>
  <si>
    <t>Bình khí hiệu chuẩn SO2</t>
  </si>
  <si>
    <t>Bình khí hiệu chuẩn O2</t>
  </si>
  <si>
    <t>Bình khí hiệu chuẩn NO2</t>
  </si>
  <si>
    <t>610ppm</t>
  </si>
  <si>
    <t>5000ppm</t>
  </si>
  <si>
    <t>1000ppm</t>
  </si>
  <si>
    <t>300ppm</t>
  </si>
  <si>
    <t>Dung dịch chuẩn COD 300ppm</t>
  </si>
  <si>
    <t>COD 300ppm</t>
  </si>
  <si>
    <t>Dung dịch chuẩn NH4-N 10ppm</t>
  </si>
  <si>
    <t>NH4-N 10ppm</t>
  </si>
  <si>
    <t>Dung dịch chuẩn NH4-N 100ppm</t>
  </si>
  <si>
    <t>NH4-N 100ppm</t>
  </si>
  <si>
    <t>70 mg/Nm3</t>
  </si>
  <si>
    <t>Bình Khí Chuẩn SO2</t>
  </si>
  <si>
    <t>2400mg/m3</t>
  </si>
  <si>
    <t>240mg/m3</t>
  </si>
  <si>
    <t>0.21</t>
  </si>
  <si>
    <t>0.01</t>
  </si>
  <si>
    <t>Bình khí hiệu chuẩn HCL</t>
  </si>
  <si>
    <t>CO 500 ppm ; NO 300 ppm ; SO2 30ppm</t>
  </si>
  <si>
    <t>Bình khí chuẩn hỗn hợp HCl</t>
  </si>
  <si>
    <t>10%V hoặc 10% mol/mol</t>
  </si>
  <si>
    <t>Đồng Hồ Điều Áp</t>
  </si>
  <si>
    <t>Bình khí chuẩn hỗn hợp NH3</t>
  </si>
  <si>
    <t>500 mg/Nm3</t>
  </si>
  <si>
    <t>100 mg/Nm3</t>
  </si>
  <si>
    <t>NO: 800 mg/Nm3 ; SO2: 800 mg/Nm3</t>
  </si>
  <si>
    <t>NO: 1400 mg/Nm3 ; SO2: 1400 mg/Nm3</t>
  </si>
  <si>
    <t>NO: 1000 mg/Nm3 ; SO2: 1000 mg/Nm3 ; CO: 1000 mg/Nm3</t>
  </si>
  <si>
    <t>NO: 400ppm ; SO2: 500ppm ; CO: 500ppm</t>
  </si>
  <si>
    <t>400ppm</t>
  </si>
  <si>
    <t>0.07</t>
  </si>
  <si>
    <t>Bình khí chuẩn CO2</t>
  </si>
  <si>
    <t>0.2</t>
  </si>
  <si>
    <t>5ppm</t>
  </si>
  <si>
    <t>20ppm</t>
  </si>
  <si>
    <t>30mg/Nm3</t>
  </si>
  <si>
    <t>Bình khí Hỗn Hợp CO/SO2/NO</t>
  </si>
  <si>
    <t>Dung dịch chuẩn pH 10</t>
  </si>
  <si>
    <t>pH 10</t>
  </si>
  <si>
    <t>Dung dịch chuẩn COD 10ppm</t>
  </si>
  <si>
    <t>COD 10ppm</t>
  </si>
  <si>
    <t>Dung dịch chuẩn COD 100ppm</t>
  </si>
  <si>
    <t>COD 100ppm</t>
  </si>
  <si>
    <t>Dung dịch chuẩn TSS 10ppm</t>
  </si>
  <si>
    <t>TSS 10ppm</t>
  </si>
  <si>
    <t>Dung dịch chuẩn NH4-N 5ppm</t>
  </si>
  <si>
    <t>NH4-N 5ppm</t>
  </si>
  <si>
    <t>30mg/m3</t>
  </si>
  <si>
    <t>Đồng hồ điều áp + Đầu chuyển</t>
  </si>
  <si>
    <t>Dung dịch chuẩn TSS 50ppm</t>
  </si>
  <si>
    <t>TSS 50ppm</t>
  </si>
  <si>
    <t>12.5%</t>
  </si>
  <si>
    <t>38.3mg/m3</t>
  </si>
  <si>
    <t>400 ppm</t>
  </si>
  <si>
    <t>CO: 800 ppm ; NO: 800 ppm ; SO2: 200 ppm ;</t>
  </si>
  <si>
    <t>NO: 2000 ppm ; CO: 1300 ppm ; SO2: 400 ppm ;</t>
  </si>
  <si>
    <t>Bình khí hiệu chuẩn NH3</t>
  </si>
  <si>
    <t>CO: 650ppm ; NO: 1000ppm ; SO2: 980ppm</t>
  </si>
  <si>
    <t>Khí CO</t>
  </si>
  <si>
    <t>260mg/m3</t>
  </si>
  <si>
    <t>Khí SO2</t>
  </si>
  <si>
    <t>300mg/m3</t>
  </si>
  <si>
    <t>Khí NO</t>
  </si>
  <si>
    <t>230mg/m3</t>
  </si>
  <si>
    <t>Khí HCL</t>
  </si>
  <si>
    <t>Khí NH3</t>
  </si>
  <si>
    <t>40mg/m3</t>
  </si>
  <si>
    <t>80mg/Nm3</t>
  </si>
  <si>
    <t>10 %</t>
  </si>
  <si>
    <t>Bình khí chuẩn hỗn hợp SO2/NO/CO</t>
  </si>
  <si>
    <t>CO: 500 mg/m3 ; NO: 500 mg/m3 ; SO2: 100 mg/m3 ;</t>
  </si>
  <si>
    <t>Nitrogen 2000 mol/mol ; Ethane 50 mol/mol ; Ethylene 50 mol/mol ; Acetylene 60 mol/mol ; Oxygen 2000 mol/mol ; Hydrogen 800 mol/mol ; Methane 90 mol/mol ; Carbon Monoxide 600 mol/mol ; Carbon Dioxide 1100 mol/mol ;</t>
  </si>
  <si>
    <t>0.25</t>
  </si>
  <si>
    <t>Dung dịch chuẩn NH4-N</t>
  </si>
  <si>
    <t>10ml/l</t>
  </si>
  <si>
    <t>5ml/l</t>
  </si>
  <si>
    <t>CO 500ppm ; SO2 400ppm ; NO 500ppm</t>
  </si>
  <si>
    <t>500ML</t>
  </si>
  <si>
    <t>8L/100bar</t>
  </si>
  <si>
    <t>Van điều áp Typhoon</t>
  </si>
  <si>
    <t>8.0</t>
  </si>
  <si>
    <t>0.12</t>
  </si>
  <si>
    <t>0.05</t>
  </si>
  <si>
    <t>1130 mg/m3</t>
  </si>
  <si>
    <t>Bình khí NO</t>
  </si>
  <si>
    <t>1200 mg/m3</t>
  </si>
  <si>
    <t>Bình khí CO</t>
  </si>
  <si>
    <t>1800ppm</t>
  </si>
  <si>
    <t>0.08</t>
  </si>
  <si>
    <t>Bình Khí SO2</t>
  </si>
  <si>
    <t>600 mg/m3</t>
  </si>
  <si>
    <t>1000mg/m3</t>
  </si>
  <si>
    <t>Bình Khí NO2</t>
  </si>
  <si>
    <t>1000mg/Nm3</t>
  </si>
  <si>
    <t>Dung dịch chuẩn PH7</t>
  </si>
  <si>
    <t>1000mg/Nm4</t>
  </si>
  <si>
    <t>1000mg/Nm5</t>
  </si>
  <si>
    <t>Dung dich chuẩn Amoni</t>
  </si>
  <si>
    <t>20mgL</t>
  </si>
  <si>
    <t>200mgL</t>
  </si>
  <si>
    <t>100mgL</t>
  </si>
  <si>
    <t>Bình khí HF</t>
  </si>
  <si>
    <t>100.0</t>
  </si>
  <si>
    <t>Bình Khí CO</t>
  </si>
  <si>
    <t>710 ppm</t>
  </si>
  <si>
    <t>Bình khí HCl</t>
  </si>
  <si>
    <t>Bình Khí N2</t>
  </si>
  <si>
    <t>50% LEL</t>
  </si>
  <si>
    <t>Bình O2</t>
  </si>
  <si>
    <t>Bình khí chuẩn SO2/NO/CO</t>
  </si>
  <si>
    <t>SO2 : 1200ppm, CO 1200ppm, NO 800 ppm</t>
  </si>
  <si>
    <t>170ppm</t>
  </si>
  <si>
    <t>6D</t>
  </si>
  <si>
    <t>NO: 3000 ppm ; SO2: 3000 ppm ; CO: 1200 ppm</t>
  </si>
  <si>
    <t>Bình khí chuẩn SO2</t>
  </si>
  <si>
    <t>1350 mg/m3</t>
  </si>
  <si>
    <t>Bình khí chuẩn NO</t>
  </si>
  <si>
    <t>1470 mg/m3</t>
  </si>
  <si>
    <t>Bình khí chuẩn CO</t>
  </si>
  <si>
    <t>2700 mg/m3</t>
  </si>
  <si>
    <t>Bình khí chuẩn N2</t>
  </si>
  <si>
    <t>99,99%</t>
  </si>
  <si>
    <t>1,2L</t>
  </si>
  <si>
    <t>509 ppm</t>
  </si>
  <si>
    <t>98 ppm</t>
  </si>
  <si>
    <t>402 ppm</t>
  </si>
  <si>
    <t>517 ppm</t>
  </si>
  <si>
    <t>450 ppm</t>
  </si>
  <si>
    <t>Bình HF</t>
  </si>
  <si>
    <t>650/980/650</t>
  </si>
  <si>
    <t>Bình khí chuẫn hỗn hợp CO/O2</t>
  </si>
  <si>
    <t>CO: 4% NO: 20%</t>
  </si>
  <si>
    <t>Bình khí chuẫn hỗn hợp NO/SO2</t>
  </si>
  <si>
    <t>NO2: 32000ppm , SO2: 8000ppm</t>
  </si>
  <si>
    <t>KIỂM KÊ THỰC TẾ 19/08/2026</t>
  </si>
  <si>
    <t>95 bình đếm được — chỉ để đối chiếu, không phải dòng nhập.</t>
  </si>
  <si>
    <t>Tên hàng</t>
  </si>
  <si>
    <t>Xuất xứ</t>
  </si>
  <si>
    <t>Nồng độ</t>
  </si>
  <si>
    <t>Số lượng</t>
  </si>
  <si>
    <t>Air Liquide</t>
  </si>
  <si>
    <t>28,9/306/506</t>
  </si>
  <si>
    <t>30 mg/nm3</t>
  </si>
  <si>
    <t>50,8ppm</t>
  </si>
  <si>
    <t>15,2ppm</t>
  </si>
  <si>
    <t>0.02</t>
  </si>
  <si>
    <t>49,6ppm</t>
  </si>
  <si>
    <t>0.0999</t>
  </si>
  <si>
    <t>Toàn Tiếng TQ</t>
  </si>
  <si>
    <t>500/400/500</t>
  </si>
  <si>
    <t>Nhôm</t>
  </si>
  <si>
    <t>Vỏ màu hồng đã kiểm định</t>
  </si>
  <si>
    <t>Vỏ</t>
  </si>
  <si>
    <t>Vỏ thép</t>
  </si>
  <si>
    <t>Vỏ nhôm</t>
  </si>
  <si>
    <t>Xịn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</si>
</sst>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i/>
      <sz val="10"/>
      <color rgb="FF808080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0" fillId="5" borderId="0" xfId="0" applyFill="1"/>
    <xf numFmtId="0" fontId="6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horizontal="center" vertical="top"/>
    </xf>
    <xf numFmtId="3" fontId="5" fillId="3" borderId="1" xfId="0" applyNumberFormat="1" applyFont="1" applyFill="1" applyBorder="1" applyAlignment="1">
      <alignment vertical="top"/>
    </xf>
    <xf numFmtId="3" fontId="5" fillId="4" borderId="1" xfId="0" applyNumberFormat="1" applyFont="1" applyFill="1" applyBorder="1" applyAlignment="1">
      <alignment vertical="top"/>
    </xf>
    <xf numFmtId="9" fontId="5" fillId="3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/>
    </xf>
    <xf numFmtId="3" fontId="5" fillId="2" borderId="1" xfId="0" applyNumberFormat="1" applyFont="1" applyFill="1" applyBorder="1" applyAlignment="1">
      <alignment vertical="top"/>
    </xf>
    <xf numFmtId="9" fontId="5" fillId="2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horizontal="right" vertical="top"/>
    </xf>
    <xf numFmtId="3" fontId="4" fillId="4" borderId="1" xfId="0" applyNumberFormat="1" applyFont="1" applyFill="1" applyBorder="1" applyAlignment="1">
      <alignment horizontal="center" vertical="top"/>
    </xf>
    <xf numFmtId="3" fontId="4" fillId="4" borderId="1" xfId="0" applyNumberFormat="1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3" fontId="5" fillId="2" borderId="1" xfId="0" applyNumberFormat="1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3" fontId="5" fillId="4" borderId="1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horizontal="right" vertical="top"/>
    </xf>
    <xf numFmtId="3" fontId="5" fillId="0" borderId="1" xfId="0" applyNumberFormat="1" applyFont="1" applyBorder="1" applyAlignment="1">
      <alignment horizontal="center" vertical="top"/>
    </xf>
    <xf numFmtId="0" fontId="5" fillId="7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26" customWidth="1"/>
    <col min="3" max="3" width="106" customWidth="1"/>
  </cols>
  <sheetData>
    <row r="1" spans="1:3" ht="18" customHeight="1" x14ac:dyDescent="0.2">
      <c r="A1" s="1" t="s">
        <v>0</v>
      </c>
    </row>
    <row r="2" spans="1:3" x14ac:dyDescent="0.2">
      <c r="A2" s="2" t="s">
        <v>1</v>
      </c>
    </row>
    <row r="4" spans="1:3" x14ac:dyDescent="0.2">
      <c r="B4" s="3" t="s">
        <v>2</v>
      </c>
    </row>
    <row r="5" spans="1:3" ht="30" customHeight="1" x14ac:dyDescent="0.2">
      <c r="B5" s="4" t="s">
        <v>3</v>
      </c>
      <c r="C5" s="5" t="s">
        <v>4</v>
      </c>
    </row>
    <row r="6" spans="1:3" ht="30" customHeight="1" x14ac:dyDescent="0.2">
      <c r="B6" s="4" t="s">
        <v>5</v>
      </c>
      <c r="C6" s="5" t="s">
        <v>6</v>
      </c>
    </row>
    <row r="7" spans="1:3" ht="30" customHeight="1" x14ac:dyDescent="0.2">
      <c r="B7" s="4" t="s">
        <v>7</v>
      </c>
      <c r="C7" s="5" t="s">
        <v>8</v>
      </c>
    </row>
    <row r="8" spans="1:3" ht="30" customHeight="1" x14ac:dyDescent="0.2">
      <c r="B8" s="4" t="s">
        <v>9</v>
      </c>
      <c r="C8" s="5" t="s">
        <v>10</v>
      </c>
    </row>
    <row r="10" spans="1:3" x14ac:dyDescent="0.2">
      <c r="B10" s="3" t="s">
        <v>11</v>
      </c>
    </row>
    <row r="11" spans="1:3" ht="30" customHeight="1" x14ac:dyDescent="0.2">
      <c r="B11" s="4" t="s">
        <v>12</v>
      </c>
      <c r="C11" s="5" t="s">
        <v>13</v>
      </c>
    </row>
    <row r="12" spans="1:3" ht="30" customHeight="1" x14ac:dyDescent="0.2">
      <c r="B12" s="4" t="s">
        <v>14</v>
      </c>
      <c r="C12" s="5" t="s">
        <v>15</v>
      </c>
    </row>
    <row r="13" spans="1:3" ht="30" customHeight="1" x14ac:dyDescent="0.2">
      <c r="B13" s="4" t="s">
        <v>16</v>
      </c>
      <c r="C13" s="5" t="s">
        <v>17</v>
      </c>
    </row>
    <row r="14" spans="1:3" ht="30" customHeight="1" x14ac:dyDescent="0.2">
      <c r="B14" s="4" t="s">
        <v>18</v>
      </c>
      <c r="C14" s="5" t="s">
        <v>19</v>
      </c>
    </row>
    <row r="16" spans="1:3" x14ac:dyDescent="0.2">
      <c r="B16" s="3" t="s">
        <v>20</v>
      </c>
    </row>
    <row r="17" spans="2:3" ht="30" customHeight="1" x14ac:dyDescent="0.2">
      <c r="B17" s="4" t="s">
        <v>21</v>
      </c>
      <c r="C17" s="5" t="s">
        <v>22</v>
      </c>
    </row>
    <row r="18" spans="2:3" ht="30" customHeight="1" x14ac:dyDescent="0.2">
      <c r="B18" s="6" t="s">
        <v>23</v>
      </c>
      <c r="C18" s="5" t="s">
        <v>24</v>
      </c>
    </row>
    <row r="19" spans="2:3" ht="30" customHeight="1" x14ac:dyDescent="0.2">
      <c r="B19" s="7" t="s">
        <v>25</v>
      </c>
      <c r="C19" s="5" t="s">
        <v>26</v>
      </c>
    </row>
    <row r="20" spans="2:3" ht="30" customHeight="1" x14ac:dyDescent="0.2">
      <c r="B20" s="8" t="s">
        <v>27</v>
      </c>
      <c r="C20" s="5" t="s">
        <v>28</v>
      </c>
    </row>
    <row r="21" spans="2:3" x14ac:dyDescent="0.2">
      <c r="B21" s="9"/>
    </row>
    <row r="22" spans="2:3" x14ac:dyDescent="0.2">
      <c r="B22" s="3" t="s">
        <v>29</v>
      </c>
    </row>
    <row r="23" spans="2:3" x14ac:dyDescent="0.2">
      <c r="B23" s="4" t="s">
        <v>30</v>
      </c>
      <c r="C23" s="5" t="s">
        <v>31</v>
      </c>
    </row>
    <row r="24" spans="2:3" ht="28" x14ac:dyDescent="0.2">
      <c r="B24" s="4" t="s">
        <v>32</v>
      </c>
      <c r="C24" s="5" t="s">
        <v>33</v>
      </c>
    </row>
    <row r="25" spans="2:3" ht="28" x14ac:dyDescent="0.2">
      <c r="B25" s="4" t="s">
        <v>34</v>
      </c>
      <c r="C25" s="5" t="s">
        <v>35</v>
      </c>
    </row>
    <row r="26" spans="2:3" x14ac:dyDescent="0.2">
      <c r="B26" s="4" t="s">
        <v>36</v>
      </c>
      <c r="C26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8"/>
  <sheetViews>
    <sheetView showGridLines="0" zoomScaleNormal="100" workbookViewId="0">
      <pane xSplit="2" ySplit="4" topLeftCell="C82" activePane="bottomRight" state="frozen"/>
      <selection pane="topRight" activeCell="C1" sqref="C1"/>
      <selection pane="bottomLeft" activeCell="A5" sqref="A5"/>
      <selection pane="bottomRight" activeCell="D39" sqref="D39"/>
    </sheetView>
  </sheetViews>
  <sheetFormatPr baseColWidth="10" defaultColWidth="8.6640625" defaultRowHeight="15" x14ac:dyDescent="0.2"/>
  <cols>
    <col min="1" max="1" width="22" customWidth="1"/>
    <col min="2" max="2" width="20" customWidth="1"/>
    <col min="3" max="3" width="16" customWidth="1"/>
    <col min="4" max="4" width="20" customWidth="1"/>
    <col min="5" max="5" width="10" customWidth="1"/>
    <col min="6" max="6" width="8" customWidth="1"/>
    <col min="7" max="7" width="80" customWidth="1"/>
  </cols>
  <sheetData>
    <row r="1" spans="1:7" ht="18" customHeight="1" x14ac:dyDescent="0.2">
      <c r="A1" s="1" t="s">
        <v>38</v>
      </c>
    </row>
    <row r="2" spans="1:7" x14ac:dyDescent="0.2">
      <c r="A2" s="2" t="s">
        <v>39</v>
      </c>
    </row>
    <row r="4" spans="1:7" ht="36" customHeight="1" x14ac:dyDescent="0.2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36</v>
      </c>
      <c r="G4" s="10" t="s">
        <v>45</v>
      </c>
    </row>
    <row r="5" spans="1:7" ht="65" customHeight="1" x14ac:dyDescent="0.2">
      <c r="A5" s="4" t="s">
        <v>46</v>
      </c>
      <c r="B5" s="11"/>
      <c r="C5" s="12" t="s">
        <v>47</v>
      </c>
      <c r="D5" s="13" t="s">
        <v>48</v>
      </c>
      <c r="E5" s="13" t="s">
        <v>49</v>
      </c>
      <c r="F5" s="13" t="s">
        <v>50</v>
      </c>
      <c r="G5" s="14" t="s">
        <v>51</v>
      </c>
    </row>
    <row r="6" spans="1:7" ht="26" x14ac:dyDescent="0.2">
      <c r="A6" s="4" t="s">
        <v>52</v>
      </c>
      <c r="B6" s="11"/>
      <c r="C6" s="12" t="s">
        <v>47</v>
      </c>
      <c r="D6" s="13" t="s">
        <v>53</v>
      </c>
      <c r="E6" s="13" t="s">
        <v>49</v>
      </c>
      <c r="F6" s="13" t="s">
        <v>50</v>
      </c>
      <c r="G6" s="14" t="s">
        <v>54</v>
      </c>
    </row>
    <row r="7" spans="1:7" ht="26" x14ac:dyDescent="0.2">
      <c r="A7" s="4" t="s">
        <v>55</v>
      </c>
      <c r="B7" s="11"/>
      <c r="C7" s="12" t="s">
        <v>47</v>
      </c>
      <c r="D7" s="13" t="s">
        <v>56</v>
      </c>
      <c r="E7" s="13" t="s">
        <v>49</v>
      </c>
      <c r="F7" s="13" t="s">
        <v>50</v>
      </c>
      <c r="G7" s="14" t="s">
        <v>57</v>
      </c>
    </row>
    <row r="8" spans="1:7" ht="26" x14ac:dyDescent="0.2">
      <c r="A8" s="4" t="s">
        <v>58</v>
      </c>
      <c r="B8" s="11"/>
      <c r="C8" s="12" t="s">
        <v>47</v>
      </c>
      <c r="D8" s="13" t="s">
        <v>59</v>
      </c>
      <c r="E8" s="13" t="s">
        <v>49</v>
      </c>
      <c r="F8" s="13" t="s">
        <v>50</v>
      </c>
      <c r="G8" s="14" t="s">
        <v>60</v>
      </c>
    </row>
    <row r="9" spans="1:7" x14ac:dyDescent="0.2">
      <c r="A9" s="4" t="s">
        <v>61</v>
      </c>
      <c r="B9" s="11"/>
      <c r="C9" s="12" t="s">
        <v>47</v>
      </c>
      <c r="D9" s="13" t="s">
        <v>62</v>
      </c>
      <c r="E9" s="13"/>
      <c r="F9" s="13" t="s">
        <v>50</v>
      </c>
      <c r="G9" s="14" t="s">
        <v>63</v>
      </c>
    </row>
    <row r="10" spans="1:7" x14ac:dyDescent="0.2">
      <c r="A10" s="4" t="s">
        <v>64</v>
      </c>
      <c r="B10" s="11"/>
      <c r="C10" s="12" t="s">
        <v>65</v>
      </c>
      <c r="D10" s="13"/>
      <c r="E10" s="13"/>
      <c r="F10" s="13" t="s">
        <v>66</v>
      </c>
      <c r="G10" s="14" t="s">
        <v>67</v>
      </c>
    </row>
    <row r="11" spans="1:7" x14ac:dyDescent="0.2">
      <c r="A11" s="4" t="s">
        <v>68</v>
      </c>
      <c r="B11" s="11"/>
      <c r="C11" s="12" t="s">
        <v>65</v>
      </c>
      <c r="D11" s="13" t="s">
        <v>69</v>
      </c>
      <c r="E11" s="13" t="s">
        <v>70</v>
      </c>
      <c r="F11" s="13" t="s">
        <v>66</v>
      </c>
      <c r="G11" s="14" t="s">
        <v>71</v>
      </c>
    </row>
    <row r="12" spans="1:7" x14ac:dyDescent="0.2">
      <c r="A12" s="4" t="s">
        <v>72</v>
      </c>
      <c r="B12" s="11"/>
      <c r="C12" s="12" t="s">
        <v>65</v>
      </c>
      <c r="D12" s="13" t="s">
        <v>73</v>
      </c>
      <c r="E12" s="13" t="s">
        <v>74</v>
      </c>
      <c r="F12" s="13" t="s">
        <v>66</v>
      </c>
      <c r="G12" s="14" t="s">
        <v>75</v>
      </c>
    </row>
    <row r="13" spans="1:7" x14ac:dyDescent="0.2">
      <c r="A13" s="4" t="s">
        <v>76</v>
      </c>
      <c r="B13" s="11"/>
      <c r="C13" s="12" t="s">
        <v>65</v>
      </c>
      <c r="D13" s="13" t="s">
        <v>77</v>
      </c>
      <c r="E13" s="13" t="s">
        <v>74</v>
      </c>
      <c r="F13" s="13" t="s">
        <v>66</v>
      </c>
      <c r="G13" s="14" t="s">
        <v>78</v>
      </c>
    </row>
    <row r="14" spans="1:7" x14ac:dyDescent="0.2">
      <c r="A14" s="4" t="s">
        <v>79</v>
      </c>
      <c r="B14" s="11"/>
      <c r="C14" s="12" t="s">
        <v>65</v>
      </c>
      <c r="D14" s="13" t="s">
        <v>80</v>
      </c>
      <c r="E14" s="13"/>
      <c r="F14" s="13" t="s">
        <v>66</v>
      </c>
      <c r="G14" s="14" t="s">
        <v>81</v>
      </c>
    </row>
    <row r="15" spans="1:7" x14ac:dyDescent="0.2">
      <c r="A15" s="4" t="s">
        <v>82</v>
      </c>
      <c r="B15" s="11"/>
      <c r="C15" s="12" t="s">
        <v>65</v>
      </c>
      <c r="D15" s="13" t="s">
        <v>80</v>
      </c>
      <c r="E15" s="13" t="s">
        <v>74</v>
      </c>
      <c r="F15" s="13" t="s">
        <v>66</v>
      </c>
      <c r="G15" s="14" t="s">
        <v>83</v>
      </c>
    </row>
    <row r="16" spans="1:7" x14ac:dyDescent="0.2">
      <c r="A16" s="4" t="s">
        <v>84</v>
      </c>
      <c r="B16" s="11"/>
      <c r="C16" s="12" t="s">
        <v>65</v>
      </c>
      <c r="D16" s="13" t="s">
        <v>85</v>
      </c>
      <c r="E16" s="13" t="s">
        <v>86</v>
      </c>
      <c r="F16" s="13" t="s">
        <v>66</v>
      </c>
      <c r="G16" s="14" t="s">
        <v>87</v>
      </c>
    </row>
    <row r="17" spans="1:7" x14ac:dyDescent="0.2">
      <c r="A17" s="4" t="s">
        <v>88</v>
      </c>
      <c r="B17" s="11"/>
      <c r="C17" s="12" t="s">
        <v>65</v>
      </c>
      <c r="D17" s="13" t="s">
        <v>89</v>
      </c>
      <c r="E17" s="13"/>
      <c r="F17" s="13" t="s">
        <v>66</v>
      </c>
      <c r="G17" s="14" t="s">
        <v>90</v>
      </c>
    </row>
    <row r="18" spans="1:7" x14ac:dyDescent="0.2">
      <c r="A18" s="4" t="s">
        <v>91</v>
      </c>
      <c r="B18" s="11"/>
      <c r="C18" s="12" t="s">
        <v>65</v>
      </c>
      <c r="D18" s="13" t="s">
        <v>89</v>
      </c>
      <c r="E18" s="13" t="s">
        <v>92</v>
      </c>
      <c r="F18" s="13" t="s">
        <v>66</v>
      </c>
      <c r="G18" s="14" t="s">
        <v>90</v>
      </c>
    </row>
    <row r="19" spans="1:7" x14ac:dyDescent="0.2">
      <c r="A19" s="4" t="s">
        <v>93</v>
      </c>
      <c r="B19" s="11"/>
      <c r="C19" s="12" t="s">
        <v>65</v>
      </c>
      <c r="D19" s="13" t="s">
        <v>89</v>
      </c>
      <c r="E19" s="13" t="s">
        <v>94</v>
      </c>
      <c r="F19" s="13" t="s">
        <v>66</v>
      </c>
      <c r="G19" s="14" t="s">
        <v>90</v>
      </c>
    </row>
    <row r="20" spans="1:7" ht="26" customHeight="1" x14ac:dyDescent="0.2">
      <c r="A20" s="4" t="s">
        <v>95</v>
      </c>
      <c r="B20" s="11"/>
      <c r="C20" s="12" t="s">
        <v>65</v>
      </c>
      <c r="D20" s="13" t="s">
        <v>89</v>
      </c>
      <c r="E20" s="13" t="s">
        <v>74</v>
      </c>
      <c r="F20" s="13" t="s">
        <v>66</v>
      </c>
      <c r="G20" s="14" t="s">
        <v>96</v>
      </c>
    </row>
    <row r="21" spans="1:7" x14ac:dyDescent="0.2">
      <c r="A21" s="4" t="s">
        <v>97</v>
      </c>
      <c r="B21" s="11"/>
      <c r="C21" s="12" t="s">
        <v>65</v>
      </c>
      <c r="D21" s="13" t="s">
        <v>89</v>
      </c>
      <c r="E21" s="13" t="s">
        <v>86</v>
      </c>
      <c r="F21" s="13" t="s">
        <v>66</v>
      </c>
      <c r="G21" s="14" t="s">
        <v>98</v>
      </c>
    </row>
    <row r="22" spans="1:7" x14ac:dyDescent="0.2">
      <c r="A22" s="4" t="s">
        <v>99</v>
      </c>
      <c r="B22" s="11"/>
      <c r="C22" s="12" t="s">
        <v>65</v>
      </c>
      <c r="D22" s="13" t="s">
        <v>89</v>
      </c>
      <c r="E22" s="13" t="s">
        <v>100</v>
      </c>
      <c r="F22" s="13" t="s">
        <v>66</v>
      </c>
      <c r="G22" s="14" t="s">
        <v>101</v>
      </c>
    </row>
    <row r="23" spans="1:7" x14ac:dyDescent="0.2">
      <c r="A23" s="4" t="s">
        <v>102</v>
      </c>
      <c r="B23" s="11"/>
      <c r="C23" s="12" t="s">
        <v>65</v>
      </c>
      <c r="D23" s="13" t="s">
        <v>89</v>
      </c>
      <c r="E23" s="13" t="s">
        <v>70</v>
      </c>
      <c r="F23" s="13" t="s">
        <v>66</v>
      </c>
      <c r="G23" s="14" t="s">
        <v>103</v>
      </c>
    </row>
    <row r="24" spans="1:7" x14ac:dyDescent="0.2">
      <c r="A24" s="4" t="s">
        <v>104</v>
      </c>
      <c r="B24" s="11"/>
      <c r="C24" s="12" t="s">
        <v>65</v>
      </c>
      <c r="D24" s="13" t="s">
        <v>89</v>
      </c>
      <c r="E24" s="13" t="s">
        <v>105</v>
      </c>
      <c r="F24" s="13" t="s">
        <v>66</v>
      </c>
      <c r="G24" s="14" t="s">
        <v>106</v>
      </c>
    </row>
    <row r="25" spans="1:7" x14ac:dyDescent="0.2">
      <c r="A25" s="4" t="s">
        <v>107</v>
      </c>
      <c r="B25" s="11"/>
      <c r="C25" s="12" t="s">
        <v>65</v>
      </c>
      <c r="D25" s="13" t="s">
        <v>108</v>
      </c>
      <c r="E25" s="13"/>
      <c r="F25" s="13" t="s">
        <v>66</v>
      </c>
      <c r="G25" s="14" t="s">
        <v>109</v>
      </c>
    </row>
    <row r="26" spans="1:7" x14ac:dyDescent="0.2">
      <c r="A26" s="4" t="s">
        <v>110</v>
      </c>
      <c r="B26" s="11"/>
      <c r="C26" s="12" t="s">
        <v>65</v>
      </c>
      <c r="D26" s="13" t="s">
        <v>108</v>
      </c>
      <c r="E26" s="13" t="s">
        <v>92</v>
      </c>
      <c r="F26" s="13" t="s">
        <v>66</v>
      </c>
      <c r="G26" s="14" t="s">
        <v>111</v>
      </c>
    </row>
    <row r="27" spans="1:7" x14ac:dyDescent="0.2">
      <c r="A27" s="4" t="s">
        <v>112</v>
      </c>
      <c r="B27" s="11"/>
      <c r="C27" s="12" t="s">
        <v>65</v>
      </c>
      <c r="D27" s="13" t="s">
        <v>108</v>
      </c>
      <c r="E27" s="13" t="s">
        <v>74</v>
      </c>
      <c r="F27" s="13" t="s">
        <v>66</v>
      </c>
      <c r="G27" s="14" t="s">
        <v>113</v>
      </c>
    </row>
    <row r="28" spans="1:7" x14ac:dyDescent="0.2">
      <c r="A28" s="4" t="s">
        <v>114</v>
      </c>
      <c r="B28" s="11"/>
      <c r="C28" s="12" t="s">
        <v>65</v>
      </c>
      <c r="D28" s="13" t="s">
        <v>108</v>
      </c>
      <c r="E28" s="13" t="s">
        <v>86</v>
      </c>
      <c r="F28" s="13" t="s">
        <v>66</v>
      </c>
      <c r="G28" s="14" t="s">
        <v>115</v>
      </c>
    </row>
    <row r="29" spans="1:7" ht="26" customHeight="1" x14ac:dyDescent="0.2">
      <c r="A29" s="4" t="s">
        <v>116</v>
      </c>
      <c r="B29" s="11"/>
      <c r="C29" s="12" t="s">
        <v>65</v>
      </c>
      <c r="D29" s="13" t="s">
        <v>108</v>
      </c>
      <c r="E29" s="13" t="s">
        <v>70</v>
      </c>
      <c r="F29" s="13" t="s">
        <v>66</v>
      </c>
      <c r="G29" s="14" t="s">
        <v>117</v>
      </c>
    </row>
    <row r="30" spans="1:7" x14ac:dyDescent="0.2">
      <c r="A30" s="4" t="s">
        <v>118</v>
      </c>
      <c r="B30" s="11"/>
      <c r="C30" s="12" t="s">
        <v>65</v>
      </c>
      <c r="D30" s="13" t="s">
        <v>119</v>
      </c>
      <c r="E30" s="13" t="s">
        <v>70</v>
      </c>
      <c r="F30" s="13" t="s">
        <v>66</v>
      </c>
      <c r="G30" s="14" t="s">
        <v>120</v>
      </c>
    </row>
    <row r="31" spans="1:7" x14ac:dyDescent="0.2">
      <c r="A31" s="4" t="s">
        <v>121</v>
      </c>
      <c r="B31" s="11"/>
      <c r="C31" s="12" t="s">
        <v>65</v>
      </c>
      <c r="D31" s="13" t="s">
        <v>122</v>
      </c>
      <c r="E31" s="13" t="s">
        <v>86</v>
      </c>
      <c r="F31" s="13" t="s">
        <v>66</v>
      </c>
      <c r="G31" s="14" t="s">
        <v>123</v>
      </c>
    </row>
    <row r="32" spans="1:7" ht="26" x14ac:dyDescent="0.2">
      <c r="A32" s="4" t="s">
        <v>124</v>
      </c>
      <c r="B32" s="11"/>
      <c r="C32" s="12" t="s">
        <v>65</v>
      </c>
      <c r="D32" s="13" t="s">
        <v>125</v>
      </c>
      <c r="E32" s="13"/>
      <c r="F32" s="13" t="s">
        <v>66</v>
      </c>
      <c r="G32" s="14" t="s">
        <v>126</v>
      </c>
    </row>
    <row r="33" spans="1:7" ht="26" customHeight="1" x14ac:dyDescent="0.2">
      <c r="A33" s="4" t="s">
        <v>127</v>
      </c>
      <c r="B33" s="11"/>
      <c r="C33" s="12" t="s">
        <v>65</v>
      </c>
      <c r="D33" s="13" t="s">
        <v>125</v>
      </c>
      <c r="E33" s="13" t="s">
        <v>86</v>
      </c>
      <c r="F33" s="13" t="s">
        <v>66</v>
      </c>
      <c r="G33" s="14" t="s">
        <v>128</v>
      </c>
    </row>
    <row r="34" spans="1:7" ht="26" x14ac:dyDescent="0.2">
      <c r="A34" s="4" t="s">
        <v>129</v>
      </c>
      <c r="B34" s="11"/>
      <c r="C34" s="12" t="s">
        <v>65</v>
      </c>
      <c r="D34" s="13" t="s">
        <v>130</v>
      </c>
      <c r="E34" s="13" t="s">
        <v>74</v>
      </c>
      <c r="F34" s="13" t="s">
        <v>66</v>
      </c>
      <c r="G34" s="14" t="s">
        <v>131</v>
      </c>
    </row>
    <row r="35" spans="1:7" x14ac:dyDescent="0.2">
      <c r="A35" s="4" t="s">
        <v>132</v>
      </c>
      <c r="B35" s="11"/>
      <c r="C35" s="12" t="s">
        <v>65</v>
      </c>
      <c r="D35" s="13" t="s">
        <v>130</v>
      </c>
      <c r="E35" s="13" t="s">
        <v>86</v>
      </c>
      <c r="F35" s="13" t="s">
        <v>66</v>
      </c>
      <c r="G35" s="14" t="s">
        <v>133</v>
      </c>
    </row>
    <row r="36" spans="1:7" x14ac:dyDescent="0.2">
      <c r="A36" s="4" t="s">
        <v>134</v>
      </c>
      <c r="B36" s="11"/>
      <c r="C36" s="12" t="s">
        <v>65</v>
      </c>
      <c r="D36" s="13" t="s">
        <v>130</v>
      </c>
      <c r="E36" s="13" t="s">
        <v>70</v>
      </c>
      <c r="F36" s="13" t="s">
        <v>66</v>
      </c>
      <c r="G36" s="14" t="s">
        <v>135</v>
      </c>
    </row>
    <row r="37" spans="1:7" x14ac:dyDescent="0.2">
      <c r="A37" s="4" t="s">
        <v>136</v>
      </c>
      <c r="B37" s="11"/>
      <c r="C37" s="12" t="s">
        <v>65</v>
      </c>
      <c r="D37" s="13" t="s">
        <v>137</v>
      </c>
      <c r="E37" s="13" t="s">
        <v>74</v>
      </c>
      <c r="F37" s="13" t="s">
        <v>66</v>
      </c>
      <c r="G37" s="14" t="s">
        <v>138</v>
      </c>
    </row>
    <row r="38" spans="1:7" x14ac:dyDescent="0.2">
      <c r="A38" s="4" t="s">
        <v>139</v>
      </c>
      <c r="B38" s="11"/>
      <c r="C38" s="12" t="s">
        <v>65</v>
      </c>
      <c r="D38" s="13" t="s">
        <v>137</v>
      </c>
      <c r="E38" s="13" t="s">
        <v>86</v>
      </c>
      <c r="F38" s="13" t="s">
        <v>66</v>
      </c>
      <c r="G38" s="14" t="s">
        <v>140</v>
      </c>
    </row>
    <row r="39" spans="1:7" x14ac:dyDescent="0.2">
      <c r="A39" s="4" t="s">
        <v>141</v>
      </c>
      <c r="B39" s="11"/>
      <c r="C39" s="12" t="s">
        <v>65</v>
      </c>
      <c r="D39" s="13" t="s">
        <v>137</v>
      </c>
      <c r="E39" s="13" t="s">
        <v>142</v>
      </c>
      <c r="F39" s="13" t="s">
        <v>66</v>
      </c>
      <c r="G39" s="14" t="s">
        <v>140</v>
      </c>
    </row>
    <row r="40" spans="1:7" x14ac:dyDescent="0.2">
      <c r="A40" s="4" t="s">
        <v>143</v>
      </c>
      <c r="B40" s="11"/>
      <c r="C40" s="12" t="s">
        <v>65</v>
      </c>
      <c r="D40" s="13" t="s">
        <v>144</v>
      </c>
      <c r="E40" s="13" t="s">
        <v>74</v>
      </c>
      <c r="F40" s="13" t="s">
        <v>66</v>
      </c>
      <c r="G40" s="14" t="s">
        <v>145</v>
      </c>
    </row>
    <row r="41" spans="1:7" x14ac:dyDescent="0.2">
      <c r="A41" s="4" t="s">
        <v>146</v>
      </c>
      <c r="B41" s="11"/>
      <c r="C41" s="12" t="s">
        <v>65</v>
      </c>
      <c r="D41" s="13" t="s">
        <v>147</v>
      </c>
      <c r="E41" s="13"/>
      <c r="F41" s="13" t="s">
        <v>66</v>
      </c>
      <c r="G41" s="14" t="s">
        <v>148</v>
      </c>
    </row>
    <row r="42" spans="1:7" x14ac:dyDescent="0.2">
      <c r="A42" s="4" t="s">
        <v>149</v>
      </c>
      <c r="B42" s="11"/>
      <c r="C42" s="12" t="s">
        <v>65</v>
      </c>
      <c r="D42" s="13" t="s">
        <v>147</v>
      </c>
      <c r="E42" s="13" t="s">
        <v>74</v>
      </c>
      <c r="F42" s="13" t="s">
        <v>66</v>
      </c>
      <c r="G42" s="14" t="s">
        <v>150</v>
      </c>
    </row>
    <row r="43" spans="1:7" x14ac:dyDescent="0.2">
      <c r="A43" s="4" t="s">
        <v>151</v>
      </c>
      <c r="B43" s="11"/>
      <c r="C43" s="12" t="s">
        <v>65</v>
      </c>
      <c r="D43" s="13" t="s">
        <v>147</v>
      </c>
      <c r="E43" s="13" t="s">
        <v>86</v>
      </c>
      <c r="F43" s="13" t="s">
        <v>66</v>
      </c>
      <c r="G43" s="14" t="s">
        <v>152</v>
      </c>
    </row>
    <row r="44" spans="1:7" x14ac:dyDescent="0.2">
      <c r="A44" s="4" t="s">
        <v>153</v>
      </c>
      <c r="B44" s="11"/>
      <c r="C44" s="12" t="s">
        <v>65</v>
      </c>
      <c r="D44" s="13" t="s">
        <v>147</v>
      </c>
      <c r="E44" s="13" t="s">
        <v>70</v>
      </c>
      <c r="F44" s="13" t="s">
        <v>66</v>
      </c>
      <c r="G44" s="14" t="s">
        <v>154</v>
      </c>
    </row>
    <row r="45" spans="1:7" x14ac:dyDescent="0.2">
      <c r="A45" s="4" t="s">
        <v>155</v>
      </c>
      <c r="B45" s="11"/>
      <c r="C45" s="12" t="s">
        <v>65</v>
      </c>
      <c r="D45" s="13" t="s">
        <v>147</v>
      </c>
      <c r="E45" s="13" t="s">
        <v>156</v>
      </c>
      <c r="F45" s="13" t="s">
        <v>66</v>
      </c>
      <c r="G45" s="14" t="s">
        <v>157</v>
      </c>
    </row>
    <row r="46" spans="1:7" x14ac:dyDescent="0.2">
      <c r="A46" s="4" t="s">
        <v>158</v>
      </c>
      <c r="B46" s="11"/>
      <c r="C46" s="12" t="s">
        <v>65</v>
      </c>
      <c r="D46" s="13" t="s">
        <v>159</v>
      </c>
      <c r="E46" s="13"/>
      <c r="F46" s="13" t="s">
        <v>66</v>
      </c>
      <c r="G46" s="14" t="s">
        <v>160</v>
      </c>
    </row>
    <row r="47" spans="1:7" x14ac:dyDescent="0.2">
      <c r="A47" s="4" t="s">
        <v>161</v>
      </c>
      <c r="B47" s="11"/>
      <c r="C47" s="12" t="s">
        <v>65</v>
      </c>
      <c r="D47" s="13" t="s">
        <v>159</v>
      </c>
      <c r="E47" s="13" t="s">
        <v>74</v>
      </c>
      <c r="F47" s="13" t="s">
        <v>66</v>
      </c>
      <c r="G47" s="14" t="s">
        <v>162</v>
      </c>
    </row>
    <row r="48" spans="1:7" x14ac:dyDescent="0.2">
      <c r="A48" s="4" t="s">
        <v>163</v>
      </c>
      <c r="B48" s="11"/>
      <c r="C48" s="12" t="s">
        <v>65</v>
      </c>
      <c r="D48" s="13" t="s">
        <v>159</v>
      </c>
      <c r="E48" s="13" t="s">
        <v>86</v>
      </c>
      <c r="F48" s="13" t="s">
        <v>66</v>
      </c>
      <c r="G48" s="14" t="s">
        <v>164</v>
      </c>
    </row>
    <row r="49" spans="1:7" x14ac:dyDescent="0.2">
      <c r="A49" s="4" t="s">
        <v>165</v>
      </c>
      <c r="B49" s="11"/>
      <c r="C49" s="12" t="s">
        <v>65</v>
      </c>
      <c r="D49" s="13" t="s">
        <v>159</v>
      </c>
      <c r="E49" s="13" t="s">
        <v>100</v>
      </c>
      <c r="F49" s="13" t="s">
        <v>66</v>
      </c>
      <c r="G49" s="14" t="s">
        <v>166</v>
      </c>
    </row>
    <row r="50" spans="1:7" x14ac:dyDescent="0.2">
      <c r="A50" s="4" t="s">
        <v>167</v>
      </c>
      <c r="B50" s="11"/>
      <c r="C50" s="12" t="s">
        <v>65</v>
      </c>
      <c r="D50" s="13" t="s">
        <v>159</v>
      </c>
      <c r="E50" s="13" t="s">
        <v>142</v>
      </c>
      <c r="F50" s="13" t="s">
        <v>66</v>
      </c>
      <c r="G50" s="14" t="s">
        <v>166</v>
      </c>
    </row>
    <row r="51" spans="1:7" x14ac:dyDescent="0.2">
      <c r="A51" s="4" t="s">
        <v>168</v>
      </c>
      <c r="B51" s="11"/>
      <c r="C51" s="12" t="s">
        <v>65</v>
      </c>
      <c r="D51" s="13" t="s">
        <v>169</v>
      </c>
      <c r="E51" s="13"/>
      <c r="F51" s="13" t="s">
        <v>66</v>
      </c>
      <c r="G51" s="14" t="s">
        <v>170</v>
      </c>
    </row>
    <row r="52" spans="1:7" x14ac:dyDescent="0.2">
      <c r="A52" s="4" t="s">
        <v>171</v>
      </c>
      <c r="B52" s="11"/>
      <c r="C52" s="12" t="s">
        <v>65</v>
      </c>
      <c r="D52" s="13" t="s">
        <v>169</v>
      </c>
      <c r="E52" s="13" t="s">
        <v>92</v>
      </c>
      <c r="F52" s="13" t="s">
        <v>66</v>
      </c>
      <c r="G52" s="14" t="s">
        <v>170</v>
      </c>
    </row>
    <row r="53" spans="1:7" x14ac:dyDescent="0.2">
      <c r="A53" s="4" t="s">
        <v>172</v>
      </c>
      <c r="B53" s="11"/>
      <c r="C53" s="12" t="s">
        <v>65</v>
      </c>
      <c r="D53" s="13" t="s">
        <v>169</v>
      </c>
      <c r="E53" s="13" t="s">
        <v>94</v>
      </c>
      <c r="F53" s="13" t="s">
        <v>66</v>
      </c>
      <c r="G53" s="14" t="s">
        <v>170</v>
      </c>
    </row>
    <row r="54" spans="1:7" ht="26" x14ac:dyDescent="0.2">
      <c r="A54" s="4" t="s">
        <v>173</v>
      </c>
      <c r="B54" s="11"/>
      <c r="C54" s="12" t="s">
        <v>65</v>
      </c>
      <c r="D54" s="13" t="s">
        <v>169</v>
      </c>
      <c r="E54" s="13" t="s">
        <v>74</v>
      </c>
      <c r="F54" s="13" t="s">
        <v>66</v>
      </c>
      <c r="G54" s="14" t="s">
        <v>174</v>
      </c>
    </row>
    <row r="55" spans="1:7" x14ac:dyDescent="0.2">
      <c r="A55" s="4" t="s">
        <v>175</v>
      </c>
      <c r="B55" s="11"/>
      <c r="C55" s="12" t="s">
        <v>65</v>
      </c>
      <c r="D55" s="13" t="s">
        <v>169</v>
      </c>
      <c r="E55" s="13" t="s">
        <v>86</v>
      </c>
      <c r="F55" s="13" t="s">
        <v>66</v>
      </c>
      <c r="G55" s="14" t="s">
        <v>170</v>
      </c>
    </row>
    <row r="56" spans="1:7" ht="26" customHeight="1" x14ac:dyDescent="0.2">
      <c r="A56" s="4" t="s">
        <v>176</v>
      </c>
      <c r="B56" s="11"/>
      <c r="C56" s="12" t="s">
        <v>65</v>
      </c>
      <c r="D56" s="13" t="s">
        <v>169</v>
      </c>
      <c r="E56" s="13" t="s">
        <v>100</v>
      </c>
      <c r="F56" s="13" t="s">
        <v>66</v>
      </c>
      <c r="G56" s="14" t="s">
        <v>177</v>
      </c>
    </row>
    <row r="57" spans="1:7" x14ac:dyDescent="0.2">
      <c r="A57" s="4" t="s">
        <v>178</v>
      </c>
      <c r="B57" s="11"/>
      <c r="C57" s="12" t="s">
        <v>65</v>
      </c>
      <c r="D57" s="13" t="s">
        <v>169</v>
      </c>
      <c r="E57" s="13" t="s">
        <v>70</v>
      </c>
      <c r="F57" s="13" t="s">
        <v>66</v>
      </c>
      <c r="G57" s="14" t="s">
        <v>179</v>
      </c>
    </row>
    <row r="58" spans="1:7" x14ac:dyDescent="0.2">
      <c r="A58" s="4" t="s">
        <v>180</v>
      </c>
      <c r="B58" s="11"/>
      <c r="C58" s="12" t="s">
        <v>65</v>
      </c>
      <c r="D58" s="13" t="s">
        <v>169</v>
      </c>
      <c r="E58" s="13" t="s">
        <v>105</v>
      </c>
      <c r="F58" s="13" t="s">
        <v>66</v>
      </c>
      <c r="G58" s="14" t="s">
        <v>181</v>
      </c>
    </row>
    <row r="59" spans="1:7" x14ac:dyDescent="0.2">
      <c r="A59" s="4" t="s">
        <v>182</v>
      </c>
      <c r="B59" s="11"/>
      <c r="C59" s="12" t="s">
        <v>65</v>
      </c>
      <c r="D59" s="13" t="s">
        <v>183</v>
      </c>
      <c r="E59" s="13"/>
      <c r="F59" s="13" t="s">
        <v>66</v>
      </c>
      <c r="G59" s="14" t="s">
        <v>184</v>
      </c>
    </row>
    <row r="60" spans="1:7" x14ac:dyDescent="0.2">
      <c r="A60" s="4" t="s">
        <v>185</v>
      </c>
      <c r="B60" s="11"/>
      <c r="C60" s="12" t="s">
        <v>65</v>
      </c>
      <c r="D60" s="13" t="s">
        <v>183</v>
      </c>
      <c r="E60" s="13" t="s">
        <v>92</v>
      </c>
      <c r="F60" s="13" t="s">
        <v>66</v>
      </c>
      <c r="G60" s="14" t="s">
        <v>186</v>
      </c>
    </row>
    <row r="61" spans="1:7" x14ac:dyDescent="0.2">
      <c r="A61" s="4" t="s">
        <v>187</v>
      </c>
      <c r="B61" s="11"/>
      <c r="C61" s="12" t="s">
        <v>65</v>
      </c>
      <c r="D61" s="13" t="s">
        <v>183</v>
      </c>
      <c r="E61" s="13" t="s">
        <v>94</v>
      </c>
      <c r="F61" s="13" t="s">
        <v>66</v>
      </c>
      <c r="G61" s="14" t="s">
        <v>188</v>
      </c>
    </row>
    <row r="62" spans="1:7" x14ac:dyDescent="0.2">
      <c r="A62" s="4" t="s">
        <v>189</v>
      </c>
      <c r="B62" s="11"/>
      <c r="C62" s="12" t="s">
        <v>65</v>
      </c>
      <c r="D62" s="13" t="s">
        <v>183</v>
      </c>
      <c r="E62" s="13" t="s">
        <v>74</v>
      </c>
      <c r="F62" s="13" t="s">
        <v>66</v>
      </c>
      <c r="G62" s="14" t="s">
        <v>190</v>
      </c>
    </row>
    <row r="63" spans="1:7" x14ac:dyDescent="0.2">
      <c r="A63" s="4" t="s">
        <v>191</v>
      </c>
      <c r="B63" s="11"/>
      <c r="C63" s="12" t="s">
        <v>65</v>
      </c>
      <c r="D63" s="13" t="s">
        <v>183</v>
      </c>
      <c r="E63" s="13" t="s">
        <v>86</v>
      </c>
      <c r="F63" s="13" t="s">
        <v>66</v>
      </c>
      <c r="G63" s="14" t="s">
        <v>188</v>
      </c>
    </row>
    <row r="64" spans="1:7" x14ac:dyDescent="0.2">
      <c r="A64" s="4" t="s">
        <v>192</v>
      </c>
      <c r="B64" s="11"/>
      <c r="C64" s="12" t="s">
        <v>65</v>
      </c>
      <c r="D64" s="13" t="s">
        <v>183</v>
      </c>
      <c r="E64" s="13" t="s">
        <v>70</v>
      </c>
      <c r="F64" s="13" t="s">
        <v>66</v>
      </c>
      <c r="G64" s="14" t="s">
        <v>184</v>
      </c>
    </row>
    <row r="65" spans="1:7" x14ac:dyDescent="0.2">
      <c r="A65" s="4" t="s">
        <v>193</v>
      </c>
      <c r="B65" s="11"/>
      <c r="C65" s="12" t="s">
        <v>65</v>
      </c>
      <c r="D65" s="13" t="s">
        <v>183</v>
      </c>
      <c r="E65" s="13" t="s">
        <v>194</v>
      </c>
      <c r="F65" s="13" t="s">
        <v>66</v>
      </c>
      <c r="G65" s="14" t="s">
        <v>188</v>
      </c>
    </row>
    <row r="66" spans="1:7" ht="26" customHeight="1" x14ac:dyDescent="0.2">
      <c r="A66" s="4" t="s">
        <v>195</v>
      </c>
      <c r="B66" s="11"/>
      <c r="C66" s="12" t="s">
        <v>65</v>
      </c>
      <c r="D66" s="13" t="s">
        <v>196</v>
      </c>
      <c r="E66" s="13"/>
      <c r="F66" s="13" t="s">
        <v>66</v>
      </c>
      <c r="G66" s="14" t="s">
        <v>197</v>
      </c>
    </row>
    <row r="67" spans="1:7" x14ac:dyDescent="0.2">
      <c r="A67" s="4" t="s">
        <v>198</v>
      </c>
      <c r="B67" s="11"/>
      <c r="C67" s="12" t="s">
        <v>65</v>
      </c>
      <c r="D67" s="13" t="s">
        <v>196</v>
      </c>
      <c r="E67" s="13" t="s">
        <v>92</v>
      </c>
      <c r="F67" s="13" t="s">
        <v>66</v>
      </c>
      <c r="G67" s="14" t="s">
        <v>199</v>
      </c>
    </row>
    <row r="68" spans="1:7" x14ac:dyDescent="0.2">
      <c r="A68" s="4" t="s">
        <v>200</v>
      </c>
      <c r="B68" s="11"/>
      <c r="C68" s="12" t="s">
        <v>65</v>
      </c>
      <c r="D68" s="13" t="s">
        <v>196</v>
      </c>
      <c r="E68" s="13" t="s">
        <v>94</v>
      </c>
      <c r="F68" s="13" t="s">
        <v>66</v>
      </c>
      <c r="G68" s="14" t="s">
        <v>199</v>
      </c>
    </row>
    <row r="69" spans="1:7" x14ac:dyDescent="0.2">
      <c r="A69" s="4" t="s">
        <v>201</v>
      </c>
      <c r="B69" s="11"/>
      <c r="C69" s="12" t="s">
        <v>65</v>
      </c>
      <c r="D69" s="13" t="s">
        <v>196</v>
      </c>
      <c r="E69" s="13" t="s">
        <v>202</v>
      </c>
      <c r="F69" s="13" t="s">
        <v>66</v>
      </c>
      <c r="G69" s="14" t="s">
        <v>203</v>
      </c>
    </row>
    <row r="70" spans="1:7" ht="26" customHeight="1" x14ac:dyDescent="0.2">
      <c r="A70" s="4" t="s">
        <v>204</v>
      </c>
      <c r="B70" s="11"/>
      <c r="C70" s="12" t="s">
        <v>65</v>
      </c>
      <c r="D70" s="13" t="s">
        <v>196</v>
      </c>
      <c r="E70" s="13" t="s">
        <v>74</v>
      </c>
      <c r="F70" s="13" t="s">
        <v>66</v>
      </c>
      <c r="G70" s="14" t="s">
        <v>205</v>
      </c>
    </row>
    <row r="71" spans="1:7" ht="26" x14ac:dyDescent="0.2">
      <c r="A71" s="4" t="s">
        <v>206</v>
      </c>
      <c r="B71" s="11"/>
      <c r="C71" s="12" t="s">
        <v>65</v>
      </c>
      <c r="D71" s="13" t="s">
        <v>196</v>
      </c>
      <c r="E71" s="13" t="s">
        <v>86</v>
      </c>
      <c r="F71" s="13" t="s">
        <v>66</v>
      </c>
      <c r="G71" s="14" t="s">
        <v>207</v>
      </c>
    </row>
    <row r="72" spans="1:7" x14ac:dyDescent="0.2">
      <c r="A72" s="4" t="s">
        <v>208</v>
      </c>
      <c r="B72" s="11"/>
      <c r="C72" s="12" t="s">
        <v>65</v>
      </c>
      <c r="D72" s="13" t="s">
        <v>196</v>
      </c>
      <c r="E72" s="13" t="s">
        <v>70</v>
      </c>
      <c r="F72" s="13" t="s">
        <v>66</v>
      </c>
      <c r="G72" s="14" t="s">
        <v>209</v>
      </c>
    </row>
    <row r="73" spans="1:7" x14ac:dyDescent="0.2">
      <c r="A73" s="4" t="s">
        <v>210</v>
      </c>
      <c r="B73" s="11"/>
      <c r="C73" s="12" t="s">
        <v>65</v>
      </c>
      <c r="D73" s="13" t="s">
        <v>211</v>
      </c>
      <c r="E73" s="13" t="s">
        <v>74</v>
      </c>
      <c r="F73" s="13" t="s">
        <v>66</v>
      </c>
      <c r="G73" s="14" t="s">
        <v>212</v>
      </c>
    </row>
    <row r="74" spans="1:7" x14ac:dyDescent="0.2">
      <c r="A74" s="4" t="s">
        <v>213</v>
      </c>
      <c r="B74" s="11"/>
      <c r="C74" s="12" t="s">
        <v>65</v>
      </c>
      <c r="D74" s="13" t="s">
        <v>211</v>
      </c>
      <c r="E74" s="13" t="s">
        <v>70</v>
      </c>
      <c r="F74" s="13" t="s">
        <v>66</v>
      </c>
      <c r="G74" s="14" t="s">
        <v>214</v>
      </c>
    </row>
    <row r="75" spans="1:7" ht="26" customHeight="1" x14ac:dyDescent="0.2">
      <c r="A75" s="4" t="s">
        <v>215</v>
      </c>
      <c r="B75" s="11"/>
      <c r="C75" s="12" t="s">
        <v>65</v>
      </c>
      <c r="D75" s="13" t="s">
        <v>216</v>
      </c>
      <c r="E75" s="13" t="s">
        <v>86</v>
      </c>
      <c r="F75" s="13" t="s">
        <v>66</v>
      </c>
      <c r="G75" s="14" t="s">
        <v>217</v>
      </c>
    </row>
    <row r="76" spans="1:7" x14ac:dyDescent="0.2">
      <c r="A76" s="4" t="s">
        <v>218</v>
      </c>
      <c r="B76" s="11"/>
      <c r="C76" s="12" t="s">
        <v>65</v>
      </c>
      <c r="D76" s="13" t="s">
        <v>219</v>
      </c>
      <c r="E76" s="13"/>
      <c r="F76" s="13" t="s">
        <v>66</v>
      </c>
      <c r="G76" s="14" t="s">
        <v>220</v>
      </c>
    </row>
    <row r="77" spans="1:7" x14ac:dyDescent="0.2">
      <c r="A77" s="4" t="s">
        <v>221</v>
      </c>
      <c r="B77" s="11"/>
      <c r="C77" s="12" t="s">
        <v>65</v>
      </c>
      <c r="D77" s="13" t="s">
        <v>219</v>
      </c>
      <c r="E77" s="13" t="s">
        <v>92</v>
      </c>
      <c r="F77" s="13" t="s">
        <v>66</v>
      </c>
      <c r="G77" s="14" t="s">
        <v>220</v>
      </c>
    </row>
    <row r="78" spans="1:7" ht="26" x14ac:dyDescent="0.2">
      <c r="A78" s="4" t="s">
        <v>222</v>
      </c>
      <c r="B78" s="11"/>
      <c r="C78" s="12" t="s">
        <v>65</v>
      </c>
      <c r="D78" s="13" t="s">
        <v>219</v>
      </c>
      <c r="E78" s="13" t="s">
        <v>74</v>
      </c>
      <c r="F78" s="13" t="s">
        <v>66</v>
      </c>
      <c r="G78" s="14" t="s">
        <v>223</v>
      </c>
    </row>
    <row r="79" spans="1:7" ht="26" x14ac:dyDescent="0.2">
      <c r="A79" s="4" t="s">
        <v>224</v>
      </c>
      <c r="B79" s="11"/>
      <c r="C79" s="12" t="s">
        <v>65</v>
      </c>
      <c r="D79" s="13" t="s">
        <v>219</v>
      </c>
      <c r="E79" s="13" t="s">
        <v>86</v>
      </c>
      <c r="F79" s="13" t="s">
        <v>66</v>
      </c>
      <c r="G79" s="14" t="s">
        <v>225</v>
      </c>
    </row>
    <row r="80" spans="1:7" x14ac:dyDescent="0.2">
      <c r="A80" s="4" t="s">
        <v>226</v>
      </c>
      <c r="B80" s="11"/>
      <c r="C80" s="12" t="s">
        <v>65</v>
      </c>
      <c r="D80" s="13" t="s">
        <v>219</v>
      </c>
      <c r="E80" s="13" t="s">
        <v>100</v>
      </c>
      <c r="F80" s="13" t="s">
        <v>66</v>
      </c>
      <c r="G80" s="14" t="s">
        <v>227</v>
      </c>
    </row>
    <row r="81" spans="1:7" ht="26" customHeight="1" x14ac:dyDescent="0.2">
      <c r="A81" s="4" t="s">
        <v>228</v>
      </c>
      <c r="B81" s="11"/>
      <c r="C81" s="12" t="s">
        <v>65</v>
      </c>
      <c r="D81" s="13" t="s">
        <v>219</v>
      </c>
      <c r="E81" s="13" t="s">
        <v>70</v>
      </c>
      <c r="F81" s="13" t="s">
        <v>66</v>
      </c>
      <c r="G81" s="14" t="s">
        <v>229</v>
      </c>
    </row>
    <row r="82" spans="1:7" x14ac:dyDescent="0.2">
      <c r="A82" s="4" t="s">
        <v>230</v>
      </c>
      <c r="B82" s="11"/>
      <c r="C82" s="12" t="s">
        <v>65</v>
      </c>
      <c r="D82" s="13" t="s">
        <v>219</v>
      </c>
      <c r="E82" s="13" t="s">
        <v>231</v>
      </c>
      <c r="F82" s="13" t="s">
        <v>66</v>
      </c>
      <c r="G82" s="14" t="s">
        <v>232</v>
      </c>
    </row>
    <row r="83" spans="1:7" x14ac:dyDescent="0.2">
      <c r="A83" s="4" t="s">
        <v>233</v>
      </c>
      <c r="B83" s="11"/>
      <c r="C83" s="12" t="s">
        <v>65</v>
      </c>
      <c r="D83" s="13" t="s">
        <v>219</v>
      </c>
      <c r="E83" s="13" t="s">
        <v>105</v>
      </c>
      <c r="F83" s="13" t="s">
        <v>66</v>
      </c>
      <c r="G83" s="14" t="s">
        <v>234</v>
      </c>
    </row>
    <row r="84" spans="1:7" x14ac:dyDescent="0.2">
      <c r="A84" s="4" t="s">
        <v>235</v>
      </c>
      <c r="B84" s="11"/>
      <c r="C84" s="12" t="s">
        <v>65</v>
      </c>
      <c r="D84" s="13" t="s">
        <v>236</v>
      </c>
      <c r="E84" s="13"/>
      <c r="F84" s="13" t="s">
        <v>66</v>
      </c>
      <c r="G84" s="14" t="s">
        <v>237</v>
      </c>
    </row>
    <row r="85" spans="1:7" x14ac:dyDescent="0.2">
      <c r="A85" s="4" t="s">
        <v>238</v>
      </c>
      <c r="B85" s="11"/>
      <c r="C85" s="12" t="s">
        <v>65</v>
      </c>
      <c r="D85" s="13" t="s">
        <v>236</v>
      </c>
      <c r="E85" s="13" t="s">
        <v>92</v>
      </c>
      <c r="F85" s="13" t="s">
        <v>66</v>
      </c>
      <c r="G85" s="14" t="s">
        <v>239</v>
      </c>
    </row>
    <row r="86" spans="1:7" ht="39" x14ac:dyDescent="0.2">
      <c r="A86" s="4" t="s">
        <v>240</v>
      </c>
      <c r="B86" s="11"/>
      <c r="C86" s="12" t="s">
        <v>65</v>
      </c>
      <c r="D86" s="13" t="s">
        <v>236</v>
      </c>
      <c r="E86" s="13" t="s">
        <v>74</v>
      </c>
      <c r="F86" s="13" t="s">
        <v>66</v>
      </c>
      <c r="G86" s="14" t="s">
        <v>241</v>
      </c>
    </row>
    <row r="87" spans="1:7" x14ac:dyDescent="0.2">
      <c r="A87" s="4" t="s">
        <v>242</v>
      </c>
      <c r="B87" s="11"/>
      <c r="C87" s="12" t="s">
        <v>65</v>
      </c>
      <c r="D87" s="13" t="s">
        <v>236</v>
      </c>
      <c r="E87" s="13" t="s">
        <v>86</v>
      </c>
      <c r="F87" s="13" t="s">
        <v>66</v>
      </c>
      <c r="G87" s="14" t="s">
        <v>243</v>
      </c>
    </row>
    <row r="88" spans="1:7" x14ac:dyDescent="0.2">
      <c r="A88" s="4" t="s">
        <v>244</v>
      </c>
      <c r="B88" s="11"/>
      <c r="C88" s="12" t="s">
        <v>65</v>
      </c>
      <c r="D88" s="13" t="s">
        <v>236</v>
      </c>
      <c r="E88" s="13" t="s">
        <v>100</v>
      </c>
      <c r="F88" s="13" t="s">
        <v>66</v>
      </c>
      <c r="G88" s="14" t="s">
        <v>237</v>
      </c>
    </row>
    <row r="89" spans="1:7" ht="39" customHeight="1" x14ac:dyDescent="0.2">
      <c r="A89" s="4" t="s">
        <v>245</v>
      </c>
      <c r="B89" s="11"/>
      <c r="C89" s="12" t="s">
        <v>65</v>
      </c>
      <c r="D89" s="13" t="s">
        <v>236</v>
      </c>
      <c r="E89" s="13" t="s">
        <v>70</v>
      </c>
      <c r="F89" s="13" t="s">
        <v>66</v>
      </c>
      <c r="G89" s="14" t="s">
        <v>246</v>
      </c>
    </row>
    <row r="90" spans="1:7" x14ac:dyDescent="0.2">
      <c r="A90" s="4" t="s">
        <v>247</v>
      </c>
      <c r="B90" s="11"/>
      <c r="C90" s="12" t="s">
        <v>65</v>
      </c>
      <c r="D90" s="13" t="s">
        <v>236</v>
      </c>
      <c r="E90" s="13" t="s">
        <v>231</v>
      </c>
      <c r="F90" s="13" t="s">
        <v>66</v>
      </c>
      <c r="G90" s="14" t="s">
        <v>248</v>
      </c>
    </row>
    <row r="91" spans="1:7" x14ac:dyDescent="0.2">
      <c r="A91" s="4" t="s">
        <v>249</v>
      </c>
      <c r="B91" s="11"/>
      <c r="C91" s="12" t="s">
        <v>65</v>
      </c>
      <c r="D91" s="13" t="s">
        <v>236</v>
      </c>
      <c r="E91" s="13" t="s">
        <v>194</v>
      </c>
      <c r="F91" s="13" t="s">
        <v>66</v>
      </c>
      <c r="G91" s="14" t="s">
        <v>237</v>
      </c>
    </row>
    <row r="92" spans="1:7" x14ac:dyDescent="0.2">
      <c r="A92" s="4" t="s">
        <v>250</v>
      </c>
      <c r="B92" s="11"/>
      <c r="C92" s="12" t="s">
        <v>65</v>
      </c>
      <c r="D92" s="13" t="s">
        <v>251</v>
      </c>
      <c r="E92" s="13" t="s">
        <v>86</v>
      </c>
      <c r="F92" s="13" t="s">
        <v>66</v>
      </c>
      <c r="G92" s="14" t="s">
        <v>252</v>
      </c>
    </row>
    <row r="93" spans="1:7" ht="26" customHeight="1" x14ac:dyDescent="0.2">
      <c r="A93" s="4" t="s">
        <v>253</v>
      </c>
      <c r="B93" s="11"/>
      <c r="C93" s="12" t="s">
        <v>65</v>
      </c>
      <c r="D93" s="13" t="s">
        <v>254</v>
      </c>
      <c r="E93" s="13" t="s">
        <v>74</v>
      </c>
      <c r="F93" s="13" t="s">
        <v>66</v>
      </c>
      <c r="G93" s="14" t="s">
        <v>255</v>
      </c>
    </row>
    <row r="94" spans="1:7" x14ac:dyDescent="0.2">
      <c r="A94" s="4" t="s">
        <v>256</v>
      </c>
      <c r="B94" s="11"/>
      <c r="C94" s="12" t="s">
        <v>65</v>
      </c>
      <c r="D94" s="13" t="s">
        <v>257</v>
      </c>
      <c r="E94" s="13"/>
      <c r="F94" s="13" t="s">
        <v>66</v>
      </c>
      <c r="G94" s="14" t="s">
        <v>258</v>
      </c>
    </row>
    <row r="95" spans="1:7" ht="26" x14ac:dyDescent="0.2">
      <c r="A95" s="4" t="s">
        <v>259</v>
      </c>
      <c r="B95" s="11"/>
      <c r="C95" s="12" t="s">
        <v>260</v>
      </c>
      <c r="D95" s="13"/>
      <c r="E95" s="13"/>
      <c r="F95" s="13" t="s">
        <v>66</v>
      </c>
      <c r="G95" s="14" t="s">
        <v>261</v>
      </c>
    </row>
    <row r="96" spans="1:7" x14ac:dyDescent="0.2">
      <c r="A96" s="4" t="s">
        <v>262</v>
      </c>
      <c r="B96" s="11"/>
      <c r="C96" s="12" t="s">
        <v>263</v>
      </c>
      <c r="D96" s="13"/>
      <c r="E96" s="13" t="s">
        <v>92</v>
      </c>
      <c r="F96" s="13" t="s">
        <v>66</v>
      </c>
      <c r="G96" s="14" t="s">
        <v>264</v>
      </c>
    </row>
    <row r="97" spans="1:7" x14ac:dyDescent="0.2">
      <c r="A97" s="4" t="s">
        <v>265</v>
      </c>
      <c r="B97" s="11"/>
      <c r="C97" s="12" t="s">
        <v>263</v>
      </c>
      <c r="D97" s="13"/>
      <c r="E97" s="13" t="s">
        <v>74</v>
      </c>
      <c r="F97" s="13" t="s">
        <v>66</v>
      </c>
      <c r="G97" s="14" t="s">
        <v>266</v>
      </c>
    </row>
    <row r="98" spans="1:7" x14ac:dyDescent="0.2">
      <c r="A98" s="4" t="s">
        <v>267</v>
      </c>
      <c r="B98" s="11"/>
      <c r="C98" s="12" t="s">
        <v>263</v>
      </c>
      <c r="D98" s="13"/>
      <c r="E98" s="13" t="s">
        <v>86</v>
      </c>
      <c r="F98" s="13" t="s">
        <v>66</v>
      </c>
      <c r="G98" s="14" t="s">
        <v>268</v>
      </c>
    </row>
    <row r="99" spans="1:7" x14ac:dyDescent="0.2">
      <c r="A99" s="4" t="s">
        <v>269</v>
      </c>
      <c r="B99" s="11"/>
      <c r="C99" s="12" t="s">
        <v>263</v>
      </c>
      <c r="D99" s="13"/>
      <c r="E99" s="13" t="s">
        <v>100</v>
      </c>
      <c r="F99" s="13" t="s">
        <v>66</v>
      </c>
      <c r="G99" s="14" t="s">
        <v>270</v>
      </c>
    </row>
    <row r="100" spans="1:7" x14ac:dyDescent="0.2">
      <c r="A100" s="4" t="s">
        <v>271</v>
      </c>
      <c r="B100" s="11"/>
      <c r="C100" s="12" t="s">
        <v>263</v>
      </c>
      <c r="D100" s="13"/>
      <c r="E100" s="13" t="s">
        <v>142</v>
      </c>
      <c r="F100" s="13" t="s">
        <v>66</v>
      </c>
      <c r="G100" s="14" t="s">
        <v>270</v>
      </c>
    </row>
    <row r="101" spans="1:7" x14ac:dyDescent="0.2">
      <c r="A101" s="4" t="s">
        <v>272</v>
      </c>
      <c r="B101" s="11"/>
      <c r="C101" s="12" t="s">
        <v>263</v>
      </c>
      <c r="D101" s="13"/>
      <c r="E101" s="13" t="s">
        <v>70</v>
      </c>
      <c r="F101" s="13" t="s">
        <v>66</v>
      </c>
      <c r="G101" s="14" t="s">
        <v>273</v>
      </c>
    </row>
    <row r="102" spans="1:7" x14ac:dyDescent="0.2">
      <c r="A102" s="4" t="s">
        <v>274</v>
      </c>
      <c r="B102" s="11"/>
      <c r="C102" s="12" t="s">
        <v>263</v>
      </c>
      <c r="D102" s="13"/>
      <c r="E102" s="13" t="s">
        <v>231</v>
      </c>
      <c r="F102" s="13" t="s">
        <v>66</v>
      </c>
      <c r="G102" s="14" t="s">
        <v>275</v>
      </c>
    </row>
    <row r="103" spans="1:7" x14ac:dyDescent="0.2">
      <c r="A103" s="4" t="s">
        <v>276</v>
      </c>
      <c r="B103" s="11"/>
      <c r="C103" s="12" t="s">
        <v>263</v>
      </c>
      <c r="D103" s="13" t="s">
        <v>277</v>
      </c>
      <c r="E103" s="13"/>
      <c r="F103" s="13" t="s">
        <v>66</v>
      </c>
      <c r="G103" s="14" t="s">
        <v>278</v>
      </c>
    </row>
    <row r="104" spans="1:7" x14ac:dyDescent="0.2">
      <c r="A104" s="4" t="s">
        <v>279</v>
      </c>
      <c r="B104" s="11"/>
      <c r="C104" s="12" t="s">
        <v>263</v>
      </c>
      <c r="D104" s="13" t="s">
        <v>277</v>
      </c>
      <c r="E104" s="13" t="s">
        <v>92</v>
      </c>
      <c r="F104" s="13" t="s">
        <v>66</v>
      </c>
      <c r="G104" s="14" t="s">
        <v>280</v>
      </c>
    </row>
    <row r="105" spans="1:7" x14ac:dyDescent="0.2">
      <c r="A105" s="4" t="s">
        <v>281</v>
      </c>
      <c r="B105" s="11"/>
      <c r="C105" s="12" t="s">
        <v>263</v>
      </c>
      <c r="D105" s="13" t="s">
        <v>277</v>
      </c>
      <c r="E105" s="13" t="s">
        <v>74</v>
      </c>
      <c r="F105" s="13" t="s">
        <v>66</v>
      </c>
      <c r="G105" s="14" t="s">
        <v>282</v>
      </c>
    </row>
    <row r="106" spans="1:7" x14ac:dyDescent="0.2">
      <c r="A106" s="4" t="s">
        <v>283</v>
      </c>
      <c r="B106" s="11"/>
      <c r="C106" s="12" t="s">
        <v>263</v>
      </c>
      <c r="D106" s="13" t="s">
        <v>277</v>
      </c>
      <c r="E106" s="13" t="s">
        <v>86</v>
      </c>
      <c r="F106" s="13" t="s">
        <v>66</v>
      </c>
      <c r="G106" s="14" t="s">
        <v>282</v>
      </c>
    </row>
    <row r="107" spans="1:7" x14ac:dyDescent="0.2">
      <c r="A107" s="4" t="s">
        <v>284</v>
      </c>
      <c r="B107" s="11"/>
      <c r="C107" s="12" t="s">
        <v>263</v>
      </c>
      <c r="D107" s="13" t="s">
        <v>277</v>
      </c>
      <c r="E107" s="13" t="s">
        <v>70</v>
      </c>
      <c r="F107" s="13" t="s">
        <v>66</v>
      </c>
      <c r="G107" s="14" t="s">
        <v>278</v>
      </c>
    </row>
    <row r="108" spans="1:7" x14ac:dyDescent="0.2">
      <c r="A108" s="4" t="s">
        <v>285</v>
      </c>
      <c r="B108" s="11"/>
      <c r="C108" s="12" t="s">
        <v>263</v>
      </c>
      <c r="D108" s="13" t="s">
        <v>277</v>
      </c>
      <c r="E108" s="13" t="s">
        <v>105</v>
      </c>
      <c r="F108" s="13" t="s">
        <v>66</v>
      </c>
      <c r="G108" s="14" t="s">
        <v>286</v>
      </c>
    </row>
    <row r="109" spans="1:7" x14ac:dyDescent="0.2">
      <c r="A109" s="4" t="s">
        <v>287</v>
      </c>
      <c r="B109" s="11"/>
      <c r="C109" s="12" t="s">
        <v>263</v>
      </c>
      <c r="D109" s="13" t="s">
        <v>288</v>
      </c>
      <c r="E109" s="13" t="s">
        <v>86</v>
      </c>
      <c r="F109" s="13" t="s">
        <v>66</v>
      </c>
      <c r="G109" s="14" t="s">
        <v>289</v>
      </c>
    </row>
    <row r="110" spans="1:7" x14ac:dyDescent="0.2">
      <c r="A110" s="4" t="s">
        <v>290</v>
      </c>
      <c r="B110" s="11"/>
      <c r="C110" s="12" t="s">
        <v>263</v>
      </c>
      <c r="D110" s="13" t="s">
        <v>288</v>
      </c>
      <c r="E110" s="13" t="s">
        <v>70</v>
      </c>
      <c r="F110" s="13" t="s">
        <v>66</v>
      </c>
      <c r="G110" s="14" t="s">
        <v>291</v>
      </c>
    </row>
    <row r="111" spans="1:7" x14ac:dyDescent="0.2">
      <c r="A111" s="11"/>
      <c r="B111" s="11"/>
      <c r="C111" s="11"/>
      <c r="D111" s="11"/>
      <c r="E111" s="11"/>
      <c r="F111" s="11"/>
      <c r="G111" s="11"/>
    </row>
    <row r="112" spans="1:7" x14ac:dyDescent="0.2">
      <c r="A112" s="11"/>
      <c r="B112" s="11"/>
      <c r="C112" s="11"/>
      <c r="D112" s="11"/>
      <c r="E112" s="11"/>
      <c r="F112" s="11"/>
      <c r="G112" s="11"/>
    </row>
    <row r="113" spans="1:7" x14ac:dyDescent="0.2">
      <c r="A113" s="11"/>
      <c r="B113" s="11"/>
      <c r="C113" s="11"/>
      <c r="D113" s="11"/>
      <c r="E113" s="11"/>
      <c r="F113" s="11"/>
      <c r="G113" s="11"/>
    </row>
    <row r="114" spans="1:7" x14ac:dyDescent="0.2">
      <c r="A114" s="11"/>
      <c r="B114" s="11"/>
      <c r="C114" s="11"/>
      <c r="D114" s="11"/>
      <c r="E114" s="11"/>
      <c r="F114" s="11"/>
      <c r="G114" s="11"/>
    </row>
    <row r="115" spans="1:7" x14ac:dyDescent="0.2">
      <c r="A115" s="11"/>
      <c r="B115" s="11"/>
      <c r="C115" s="11"/>
      <c r="D115" s="11"/>
      <c r="E115" s="11"/>
      <c r="F115" s="11"/>
      <c r="G115" s="11"/>
    </row>
    <row r="116" spans="1:7" x14ac:dyDescent="0.2">
      <c r="A116" s="11"/>
      <c r="B116" s="11"/>
      <c r="C116" s="11"/>
      <c r="D116" s="11"/>
      <c r="E116" s="11"/>
      <c r="F116" s="11"/>
      <c r="G116" s="11"/>
    </row>
    <row r="117" spans="1:7" x14ac:dyDescent="0.2">
      <c r="A117" s="11"/>
      <c r="B117" s="11"/>
      <c r="C117" s="11"/>
      <c r="D117" s="11"/>
      <c r="E117" s="11"/>
      <c r="F117" s="11"/>
      <c r="G117" s="11"/>
    </row>
    <row r="118" spans="1:7" x14ac:dyDescent="0.2">
      <c r="A118" s="11"/>
      <c r="B118" s="11"/>
      <c r="C118" s="11"/>
      <c r="D118" s="11"/>
      <c r="E118" s="11"/>
      <c r="F118" s="11"/>
      <c r="G118" s="11"/>
    </row>
    <row r="119" spans="1:7" x14ac:dyDescent="0.2">
      <c r="A119" s="11"/>
      <c r="B119" s="11"/>
      <c r="C119" s="11"/>
      <c r="D119" s="11"/>
      <c r="E119" s="11"/>
      <c r="F119" s="11"/>
      <c r="G119" s="11"/>
    </row>
    <row r="120" spans="1:7" x14ac:dyDescent="0.2">
      <c r="A120" s="11"/>
      <c r="B120" s="11"/>
      <c r="C120" s="11"/>
      <c r="D120" s="11"/>
      <c r="E120" s="11"/>
      <c r="F120" s="11"/>
      <c r="G120" s="11"/>
    </row>
    <row r="121" spans="1:7" x14ac:dyDescent="0.2">
      <c r="A121" s="11"/>
      <c r="B121" s="11"/>
      <c r="C121" s="11"/>
      <c r="D121" s="11"/>
      <c r="E121" s="11"/>
      <c r="F121" s="11"/>
      <c r="G121" s="11"/>
    </row>
    <row r="122" spans="1:7" x14ac:dyDescent="0.2">
      <c r="A122" s="11"/>
      <c r="B122" s="11"/>
      <c r="C122" s="11"/>
      <c r="D122" s="11"/>
      <c r="E122" s="11"/>
      <c r="F122" s="11"/>
      <c r="G122" s="11"/>
    </row>
    <row r="123" spans="1:7" x14ac:dyDescent="0.2">
      <c r="A123" s="11"/>
      <c r="B123" s="11"/>
      <c r="C123" s="11"/>
      <c r="D123" s="11"/>
      <c r="E123" s="11"/>
      <c r="F123" s="11"/>
      <c r="G123" s="11"/>
    </row>
    <row r="124" spans="1:7" x14ac:dyDescent="0.2">
      <c r="A124" s="11"/>
      <c r="B124" s="11"/>
      <c r="C124" s="11"/>
      <c r="D124" s="11"/>
      <c r="E124" s="11"/>
      <c r="F124" s="11"/>
      <c r="G124" s="11"/>
    </row>
    <row r="125" spans="1:7" x14ac:dyDescent="0.2">
      <c r="A125" s="11"/>
      <c r="B125" s="11"/>
      <c r="C125" s="11"/>
      <c r="D125" s="11"/>
      <c r="E125" s="11"/>
      <c r="F125" s="11"/>
      <c r="G125" s="11"/>
    </row>
    <row r="126" spans="1:7" x14ac:dyDescent="0.2">
      <c r="A126" s="11"/>
      <c r="B126" s="11"/>
      <c r="C126" s="11"/>
      <c r="D126" s="11"/>
      <c r="E126" s="11"/>
      <c r="F126" s="11"/>
      <c r="G126" s="11"/>
    </row>
    <row r="127" spans="1:7" x14ac:dyDescent="0.2">
      <c r="A127" s="11"/>
      <c r="B127" s="11"/>
      <c r="C127" s="11"/>
      <c r="D127" s="11"/>
      <c r="E127" s="11"/>
      <c r="F127" s="11"/>
      <c r="G127" s="11"/>
    </row>
    <row r="128" spans="1:7" x14ac:dyDescent="0.2">
      <c r="A128" s="11"/>
      <c r="B128" s="11"/>
      <c r="C128" s="11"/>
      <c r="D128" s="11"/>
      <c r="E128" s="11"/>
      <c r="F128" s="11"/>
      <c r="G128" s="11"/>
    </row>
    <row r="129" spans="1:7" x14ac:dyDescent="0.2">
      <c r="A129" s="11"/>
      <c r="B129" s="11"/>
      <c r="C129" s="11"/>
      <c r="D129" s="11"/>
      <c r="E129" s="11"/>
      <c r="F129" s="11"/>
      <c r="G129" s="11"/>
    </row>
    <row r="130" spans="1:7" x14ac:dyDescent="0.2">
      <c r="A130" s="11"/>
      <c r="B130" s="11"/>
      <c r="C130" s="11"/>
      <c r="D130" s="11"/>
      <c r="E130" s="11"/>
      <c r="F130" s="11"/>
      <c r="G130" s="11"/>
    </row>
    <row r="131" spans="1:7" x14ac:dyDescent="0.2">
      <c r="A131" s="11"/>
      <c r="B131" s="11"/>
      <c r="C131" s="11"/>
      <c r="D131" s="11"/>
      <c r="E131" s="11"/>
      <c r="F131" s="11"/>
      <c r="G131" s="11"/>
    </row>
    <row r="132" spans="1:7" x14ac:dyDescent="0.2">
      <c r="A132" s="11"/>
      <c r="B132" s="11"/>
      <c r="C132" s="11"/>
      <c r="D132" s="11"/>
      <c r="E132" s="11"/>
      <c r="F132" s="11"/>
      <c r="G132" s="11"/>
    </row>
    <row r="133" spans="1:7" x14ac:dyDescent="0.2">
      <c r="A133" s="11"/>
      <c r="B133" s="11"/>
      <c r="C133" s="11"/>
      <c r="D133" s="11"/>
      <c r="E133" s="11"/>
      <c r="F133" s="11"/>
      <c r="G133" s="11"/>
    </row>
    <row r="134" spans="1:7" x14ac:dyDescent="0.2">
      <c r="A134" s="11"/>
      <c r="B134" s="11"/>
      <c r="C134" s="11"/>
      <c r="D134" s="11"/>
      <c r="E134" s="11"/>
      <c r="F134" s="11"/>
      <c r="G134" s="11"/>
    </row>
    <row r="135" spans="1:7" x14ac:dyDescent="0.2">
      <c r="A135" s="11"/>
      <c r="B135" s="11"/>
      <c r="C135" s="11"/>
      <c r="D135" s="11"/>
      <c r="E135" s="11"/>
      <c r="F135" s="11"/>
      <c r="G135" s="11"/>
    </row>
    <row r="136" spans="1:7" x14ac:dyDescent="0.2">
      <c r="A136" s="11"/>
      <c r="B136" s="11"/>
      <c r="C136" s="11"/>
      <c r="D136" s="11"/>
      <c r="E136" s="11"/>
      <c r="F136" s="11"/>
      <c r="G136" s="11"/>
    </row>
    <row r="137" spans="1:7" x14ac:dyDescent="0.2">
      <c r="A137" s="11"/>
      <c r="B137" s="11"/>
      <c r="C137" s="11"/>
      <c r="D137" s="11"/>
      <c r="E137" s="11"/>
      <c r="F137" s="11"/>
      <c r="G137" s="11"/>
    </row>
    <row r="138" spans="1:7" x14ac:dyDescent="0.2">
      <c r="A138" s="11"/>
      <c r="B138" s="11"/>
      <c r="C138" s="11"/>
      <c r="D138" s="11"/>
      <c r="E138" s="11"/>
      <c r="F138" s="11"/>
      <c r="G138" s="11"/>
    </row>
    <row r="139" spans="1:7" x14ac:dyDescent="0.2">
      <c r="A139" s="11"/>
      <c r="B139" s="11"/>
      <c r="C139" s="11"/>
      <c r="D139" s="11"/>
      <c r="E139" s="11"/>
      <c r="F139" s="11"/>
      <c r="G139" s="11"/>
    </row>
    <row r="140" spans="1:7" x14ac:dyDescent="0.2">
      <c r="A140" s="11"/>
      <c r="B140" s="11"/>
      <c r="C140" s="11"/>
      <c r="D140" s="11"/>
      <c r="E140" s="11"/>
      <c r="F140" s="11"/>
      <c r="G140" s="11"/>
    </row>
    <row r="141" spans="1:7" x14ac:dyDescent="0.2">
      <c r="A141" s="11"/>
      <c r="B141" s="11"/>
      <c r="C141" s="11"/>
      <c r="D141" s="11"/>
      <c r="E141" s="11"/>
      <c r="F141" s="11"/>
      <c r="G141" s="11"/>
    </row>
    <row r="142" spans="1:7" x14ac:dyDescent="0.2">
      <c r="A142" s="11"/>
      <c r="B142" s="11"/>
      <c r="C142" s="11"/>
      <c r="D142" s="11"/>
      <c r="E142" s="11"/>
      <c r="F142" s="11"/>
      <c r="G142" s="11"/>
    </row>
    <row r="143" spans="1:7" x14ac:dyDescent="0.2">
      <c r="A143" s="11"/>
      <c r="B143" s="11"/>
      <c r="C143" s="11"/>
      <c r="D143" s="11"/>
      <c r="E143" s="11"/>
      <c r="F143" s="11"/>
      <c r="G143" s="11"/>
    </row>
    <row r="144" spans="1:7" x14ac:dyDescent="0.2">
      <c r="A144" s="11"/>
      <c r="B144" s="11"/>
      <c r="C144" s="11"/>
      <c r="D144" s="11"/>
      <c r="E144" s="11"/>
      <c r="F144" s="11"/>
      <c r="G144" s="11"/>
    </row>
    <row r="145" spans="1:7" x14ac:dyDescent="0.2">
      <c r="A145" s="11"/>
      <c r="B145" s="11"/>
      <c r="C145" s="11"/>
      <c r="D145" s="11"/>
      <c r="E145" s="11"/>
      <c r="F145" s="11"/>
      <c r="G145" s="11"/>
    </row>
    <row r="146" spans="1:7" x14ac:dyDescent="0.2">
      <c r="A146" s="11"/>
      <c r="B146" s="11"/>
      <c r="C146" s="11"/>
      <c r="D146" s="11"/>
      <c r="E146" s="11"/>
      <c r="F146" s="11"/>
      <c r="G146" s="11"/>
    </row>
    <row r="147" spans="1:7" x14ac:dyDescent="0.2">
      <c r="A147" s="11"/>
      <c r="B147" s="11"/>
      <c r="C147" s="11"/>
      <c r="D147" s="11"/>
      <c r="E147" s="11"/>
      <c r="F147" s="11"/>
      <c r="G147" s="11"/>
    </row>
    <row r="148" spans="1:7" x14ac:dyDescent="0.2">
      <c r="A148" s="11"/>
      <c r="B148" s="11"/>
      <c r="C148" s="11"/>
      <c r="D148" s="11"/>
      <c r="E148" s="11"/>
      <c r="F148" s="11"/>
      <c r="G148" s="11"/>
    </row>
    <row r="149" spans="1:7" x14ac:dyDescent="0.2">
      <c r="A149" s="11"/>
      <c r="B149" s="11"/>
      <c r="C149" s="11"/>
      <c r="D149" s="11"/>
      <c r="E149" s="11"/>
      <c r="F149" s="11"/>
      <c r="G149" s="11"/>
    </row>
    <row r="150" spans="1:7" x14ac:dyDescent="0.2">
      <c r="A150" s="11"/>
      <c r="B150" s="11"/>
      <c r="C150" s="11"/>
      <c r="D150" s="11"/>
      <c r="E150" s="11"/>
      <c r="F150" s="11"/>
      <c r="G150" s="11"/>
    </row>
    <row r="151" spans="1:7" x14ac:dyDescent="0.2">
      <c r="A151" s="11"/>
      <c r="B151" s="11"/>
      <c r="C151" s="11"/>
      <c r="D151" s="11"/>
      <c r="E151" s="11"/>
      <c r="F151" s="11"/>
      <c r="G151" s="11"/>
    </row>
    <row r="152" spans="1:7" x14ac:dyDescent="0.2">
      <c r="A152" s="11"/>
      <c r="B152" s="11"/>
      <c r="C152" s="11"/>
      <c r="D152" s="11"/>
      <c r="E152" s="11"/>
      <c r="F152" s="11"/>
      <c r="G152" s="11"/>
    </row>
    <row r="153" spans="1:7" x14ac:dyDescent="0.2">
      <c r="A153" s="11"/>
      <c r="B153" s="11"/>
      <c r="C153" s="11"/>
      <c r="D153" s="11"/>
      <c r="E153" s="11"/>
      <c r="F153" s="11"/>
      <c r="G153" s="11"/>
    </row>
    <row r="154" spans="1:7" x14ac:dyDescent="0.2">
      <c r="A154" s="11"/>
      <c r="B154" s="11"/>
      <c r="C154" s="11"/>
      <c r="D154" s="11"/>
      <c r="E154" s="11"/>
      <c r="F154" s="11"/>
      <c r="G154" s="11"/>
    </row>
    <row r="155" spans="1:7" x14ac:dyDescent="0.2">
      <c r="A155" s="11"/>
      <c r="B155" s="11"/>
      <c r="C155" s="11"/>
      <c r="D155" s="11"/>
      <c r="E155" s="11"/>
      <c r="F155" s="11"/>
      <c r="G155" s="11"/>
    </row>
    <row r="156" spans="1:7" x14ac:dyDescent="0.2">
      <c r="A156" s="11"/>
      <c r="B156" s="11"/>
      <c r="C156" s="11"/>
      <c r="D156" s="11"/>
      <c r="E156" s="11"/>
      <c r="F156" s="11"/>
      <c r="G156" s="11"/>
    </row>
    <row r="157" spans="1:7" x14ac:dyDescent="0.2">
      <c r="A157" s="11"/>
      <c r="B157" s="11"/>
      <c r="C157" s="11"/>
      <c r="D157" s="11"/>
      <c r="E157" s="11"/>
      <c r="F157" s="11"/>
      <c r="G157" s="11"/>
    </row>
    <row r="158" spans="1:7" x14ac:dyDescent="0.2">
      <c r="A158" s="11"/>
      <c r="B158" s="11"/>
      <c r="C158" s="11"/>
      <c r="D158" s="11"/>
      <c r="E158" s="11"/>
      <c r="F158" s="11"/>
      <c r="G158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4"/>
  <sheetViews>
    <sheetView showGridLines="0" zoomScaleNormal="100" workbookViewId="0">
      <pane ySplit="4" topLeftCell="A5" activePane="bottomLeft" state="frozen"/>
      <selection pane="bottomLeft" activeCell="A135" sqref="A135"/>
    </sheetView>
  </sheetViews>
  <sheetFormatPr baseColWidth="10" defaultColWidth="8.6640625" defaultRowHeight="15" x14ac:dyDescent="0.2"/>
  <cols>
    <col min="1" max="1" width="44" customWidth="1"/>
  </cols>
  <sheetData>
    <row r="1" spans="1:1" ht="18" customHeight="1" x14ac:dyDescent="0.2">
      <c r="A1" s="1" t="s">
        <v>292</v>
      </c>
    </row>
    <row r="2" spans="1:1" x14ac:dyDescent="0.2">
      <c r="A2" s="2" t="s">
        <v>293</v>
      </c>
    </row>
    <row r="4" spans="1:1" ht="36" customHeight="1" x14ac:dyDescent="0.2">
      <c r="A4" s="10" t="s">
        <v>294</v>
      </c>
    </row>
    <row r="5" spans="1:1" x14ac:dyDescent="0.2">
      <c r="A5" s="5" t="s">
        <v>295</v>
      </c>
    </row>
    <row r="6" spans="1:1" x14ac:dyDescent="0.2">
      <c r="A6" s="5" t="s">
        <v>296</v>
      </c>
    </row>
    <row r="7" spans="1:1" x14ac:dyDescent="0.2">
      <c r="A7" s="5" t="s">
        <v>297</v>
      </c>
    </row>
    <row r="8" spans="1:1" x14ac:dyDescent="0.2">
      <c r="A8" s="5" t="s">
        <v>298</v>
      </c>
    </row>
    <row r="9" spans="1:1" x14ac:dyDescent="0.2">
      <c r="A9" s="5" t="s">
        <v>299</v>
      </c>
    </row>
    <row r="10" spans="1:1" x14ac:dyDescent="0.2">
      <c r="A10" s="5" t="s">
        <v>300</v>
      </c>
    </row>
    <row r="11" spans="1:1" x14ac:dyDescent="0.2">
      <c r="A11" s="5" t="s">
        <v>301</v>
      </c>
    </row>
    <row r="12" spans="1:1" x14ac:dyDescent="0.2">
      <c r="A12" s="5" t="s">
        <v>302</v>
      </c>
    </row>
    <row r="13" spans="1:1" x14ac:dyDescent="0.2">
      <c r="A13" s="5" t="s">
        <v>303</v>
      </c>
    </row>
    <row r="14" spans="1:1" x14ac:dyDescent="0.2">
      <c r="A14" s="5" t="s">
        <v>304</v>
      </c>
    </row>
    <row r="15" spans="1:1" x14ac:dyDescent="0.2">
      <c r="A15" s="5" t="s">
        <v>305</v>
      </c>
    </row>
    <row r="16" spans="1:1" x14ac:dyDescent="0.2">
      <c r="A16" s="5" t="s">
        <v>306</v>
      </c>
    </row>
    <row r="17" spans="1:1" x14ac:dyDescent="0.2">
      <c r="A17" s="5" t="s">
        <v>307</v>
      </c>
    </row>
    <row r="18" spans="1:1" x14ac:dyDescent="0.2">
      <c r="A18" s="5" t="s">
        <v>308</v>
      </c>
    </row>
    <row r="19" spans="1:1" x14ac:dyDescent="0.2">
      <c r="A19" s="5" t="s">
        <v>309</v>
      </c>
    </row>
    <row r="20" spans="1:1" x14ac:dyDescent="0.2">
      <c r="A20" s="5" t="s">
        <v>310</v>
      </c>
    </row>
    <row r="21" spans="1:1" x14ac:dyDescent="0.2">
      <c r="A21" s="5" t="s">
        <v>311</v>
      </c>
    </row>
    <row r="22" spans="1:1" x14ac:dyDescent="0.2">
      <c r="A22" s="5" t="s">
        <v>312</v>
      </c>
    </row>
    <row r="23" spans="1:1" x14ac:dyDescent="0.2">
      <c r="A23" s="5" t="s">
        <v>313</v>
      </c>
    </row>
    <row r="24" spans="1:1" x14ac:dyDescent="0.2">
      <c r="A24" s="5" t="s">
        <v>314</v>
      </c>
    </row>
    <row r="25" spans="1:1" x14ac:dyDescent="0.2">
      <c r="A25" s="5" t="s">
        <v>315</v>
      </c>
    </row>
    <row r="26" spans="1:1" x14ac:dyDescent="0.2">
      <c r="A26" s="5" t="s">
        <v>316</v>
      </c>
    </row>
    <row r="27" spans="1:1" x14ac:dyDescent="0.2">
      <c r="A27" s="5" t="s">
        <v>317</v>
      </c>
    </row>
    <row r="28" spans="1:1" x14ac:dyDescent="0.2">
      <c r="A28" s="5" t="s">
        <v>318</v>
      </c>
    </row>
    <row r="29" spans="1:1" x14ac:dyDescent="0.2">
      <c r="A29" s="5" t="s">
        <v>319</v>
      </c>
    </row>
    <row r="30" spans="1:1" x14ac:dyDescent="0.2">
      <c r="A30" s="5" t="s">
        <v>320</v>
      </c>
    </row>
    <row r="31" spans="1:1" x14ac:dyDescent="0.2">
      <c r="A31" s="5" t="s">
        <v>321</v>
      </c>
    </row>
    <row r="32" spans="1:1" x14ac:dyDescent="0.2">
      <c r="A32" s="5" t="s">
        <v>322</v>
      </c>
    </row>
    <row r="33" spans="1:1" x14ac:dyDescent="0.2">
      <c r="A33" s="5" t="s">
        <v>323</v>
      </c>
    </row>
    <row r="34" spans="1:1" x14ac:dyDescent="0.2">
      <c r="A34" s="5" t="s">
        <v>324</v>
      </c>
    </row>
    <row r="35" spans="1:1" x14ac:dyDescent="0.2">
      <c r="A35" s="5" t="s">
        <v>325</v>
      </c>
    </row>
    <row r="36" spans="1:1" x14ac:dyDescent="0.2">
      <c r="A36" s="5" t="s">
        <v>326</v>
      </c>
    </row>
    <row r="37" spans="1:1" x14ac:dyDescent="0.2">
      <c r="A37" s="5" t="s">
        <v>327</v>
      </c>
    </row>
    <row r="38" spans="1:1" x14ac:dyDescent="0.2">
      <c r="A38" s="5" t="s">
        <v>328</v>
      </c>
    </row>
    <row r="39" spans="1:1" x14ac:dyDescent="0.2">
      <c r="A39" s="5" t="s">
        <v>329</v>
      </c>
    </row>
    <row r="40" spans="1:1" x14ac:dyDescent="0.2">
      <c r="A40" s="5" t="s">
        <v>330</v>
      </c>
    </row>
    <row r="41" spans="1:1" x14ac:dyDescent="0.2">
      <c r="A41" s="5" t="s">
        <v>331</v>
      </c>
    </row>
    <row r="42" spans="1:1" x14ac:dyDescent="0.2">
      <c r="A42" s="5" t="s">
        <v>332</v>
      </c>
    </row>
    <row r="43" spans="1:1" x14ac:dyDescent="0.2">
      <c r="A43" s="5" t="s">
        <v>333</v>
      </c>
    </row>
    <row r="44" spans="1:1" x14ac:dyDescent="0.2">
      <c r="A44" s="5" t="s">
        <v>334</v>
      </c>
    </row>
    <row r="45" spans="1:1" x14ac:dyDescent="0.2">
      <c r="A45" s="5" t="s">
        <v>335</v>
      </c>
    </row>
    <row r="46" spans="1:1" x14ac:dyDescent="0.2">
      <c r="A46" s="5" t="s">
        <v>336</v>
      </c>
    </row>
    <row r="47" spans="1:1" x14ac:dyDescent="0.2">
      <c r="A47" s="5" t="s">
        <v>337</v>
      </c>
    </row>
    <row r="48" spans="1:1" x14ac:dyDescent="0.2">
      <c r="A48" s="5" t="s">
        <v>338</v>
      </c>
    </row>
    <row r="49" spans="1:1" x14ac:dyDescent="0.2">
      <c r="A49" s="5" t="s">
        <v>339</v>
      </c>
    </row>
    <row r="50" spans="1:1" x14ac:dyDescent="0.2">
      <c r="A50" s="5" t="s">
        <v>340</v>
      </c>
    </row>
    <row r="51" spans="1:1" x14ac:dyDescent="0.2">
      <c r="A51" s="5" t="s">
        <v>341</v>
      </c>
    </row>
    <row r="52" spans="1:1" x14ac:dyDescent="0.2">
      <c r="A52" s="5" t="s">
        <v>342</v>
      </c>
    </row>
    <row r="53" spans="1:1" x14ac:dyDescent="0.2">
      <c r="A53" s="5" t="s">
        <v>343</v>
      </c>
    </row>
    <row r="54" spans="1:1" x14ac:dyDescent="0.2">
      <c r="A54" s="5" t="s">
        <v>344</v>
      </c>
    </row>
    <row r="55" spans="1:1" x14ac:dyDescent="0.2">
      <c r="A55" s="5" t="s">
        <v>345</v>
      </c>
    </row>
    <row r="56" spans="1:1" x14ac:dyDescent="0.2">
      <c r="A56" s="5" t="s">
        <v>346</v>
      </c>
    </row>
    <row r="57" spans="1:1" x14ac:dyDescent="0.2">
      <c r="A57" s="5" t="s">
        <v>347</v>
      </c>
    </row>
    <row r="58" spans="1:1" x14ac:dyDescent="0.2">
      <c r="A58" s="5" t="s">
        <v>348</v>
      </c>
    </row>
    <row r="59" spans="1:1" x14ac:dyDescent="0.2">
      <c r="A59" s="5" t="s">
        <v>349</v>
      </c>
    </row>
    <row r="60" spans="1:1" x14ac:dyDescent="0.2">
      <c r="A60" s="5" t="s">
        <v>350</v>
      </c>
    </row>
    <row r="61" spans="1:1" x14ac:dyDescent="0.2">
      <c r="A61" s="5" t="s">
        <v>351</v>
      </c>
    </row>
    <row r="62" spans="1:1" x14ac:dyDescent="0.2">
      <c r="A62" s="5" t="s">
        <v>352</v>
      </c>
    </row>
    <row r="63" spans="1:1" x14ac:dyDescent="0.2">
      <c r="A63" s="5" t="s">
        <v>353</v>
      </c>
    </row>
    <row r="64" spans="1:1" x14ac:dyDescent="0.2">
      <c r="A64" s="5" t="s">
        <v>354</v>
      </c>
    </row>
    <row r="65" spans="1:1" x14ac:dyDescent="0.2">
      <c r="A65" s="5" t="s">
        <v>355</v>
      </c>
    </row>
    <row r="66" spans="1:1" x14ac:dyDescent="0.2">
      <c r="A66" s="5" t="s">
        <v>356</v>
      </c>
    </row>
    <row r="67" spans="1:1" x14ac:dyDescent="0.2">
      <c r="A67" s="5" t="s">
        <v>357</v>
      </c>
    </row>
    <row r="68" spans="1:1" x14ac:dyDescent="0.2">
      <c r="A68" s="5" t="s">
        <v>358</v>
      </c>
    </row>
    <row r="69" spans="1:1" x14ac:dyDescent="0.2">
      <c r="A69" s="5" t="s">
        <v>359</v>
      </c>
    </row>
    <row r="70" spans="1:1" x14ac:dyDescent="0.2">
      <c r="A70" s="5" t="s">
        <v>360</v>
      </c>
    </row>
    <row r="71" spans="1:1" x14ac:dyDescent="0.2">
      <c r="A71" s="5" t="s">
        <v>361</v>
      </c>
    </row>
    <row r="72" spans="1:1" x14ac:dyDescent="0.2">
      <c r="A72" s="5" t="s">
        <v>362</v>
      </c>
    </row>
    <row r="73" spans="1:1" x14ac:dyDescent="0.2">
      <c r="A73" s="5" t="s">
        <v>363</v>
      </c>
    </row>
    <row r="74" spans="1:1" x14ac:dyDescent="0.2">
      <c r="A74" s="5" t="s">
        <v>364</v>
      </c>
    </row>
    <row r="75" spans="1:1" x14ac:dyDescent="0.2">
      <c r="A75" s="5" t="s">
        <v>365</v>
      </c>
    </row>
    <row r="76" spans="1:1" x14ac:dyDescent="0.2">
      <c r="A76" s="5" t="s">
        <v>366</v>
      </c>
    </row>
    <row r="77" spans="1:1" x14ac:dyDescent="0.2">
      <c r="A77" s="5" t="s">
        <v>367</v>
      </c>
    </row>
    <row r="78" spans="1:1" x14ac:dyDescent="0.2">
      <c r="A78" s="5" t="s">
        <v>368</v>
      </c>
    </row>
    <row r="79" spans="1:1" x14ac:dyDescent="0.2">
      <c r="A79" s="5" t="s">
        <v>369</v>
      </c>
    </row>
    <row r="80" spans="1:1" x14ac:dyDescent="0.2">
      <c r="A80" s="5" t="s">
        <v>370</v>
      </c>
    </row>
    <row r="81" spans="1:1" x14ac:dyDescent="0.2">
      <c r="A81" s="5" t="s">
        <v>371</v>
      </c>
    </row>
    <row r="82" spans="1:1" x14ac:dyDescent="0.2">
      <c r="A82" s="5" t="s">
        <v>372</v>
      </c>
    </row>
    <row r="83" spans="1:1" x14ac:dyDescent="0.2">
      <c r="A83" s="5" t="s">
        <v>373</v>
      </c>
    </row>
    <row r="84" spans="1:1" x14ac:dyDescent="0.2">
      <c r="A84" s="5" t="s">
        <v>374</v>
      </c>
    </row>
    <row r="85" spans="1:1" x14ac:dyDescent="0.2">
      <c r="A85" s="5" t="s">
        <v>375</v>
      </c>
    </row>
    <row r="86" spans="1:1" x14ac:dyDescent="0.2">
      <c r="A86" s="5" t="s">
        <v>376</v>
      </c>
    </row>
    <row r="87" spans="1:1" x14ac:dyDescent="0.2">
      <c r="A87" s="5" t="s">
        <v>377</v>
      </c>
    </row>
    <row r="88" spans="1:1" x14ac:dyDescent="0.2">
      <c r="A88" s="5" t="s">
        <v>378</v>
      </c>
    </row>
    <row r="89" spans="1:1" x14ac:dyDescent="0.2">
      <c r="A89" s="5" t="s">
        <v>379</v>
      </c>
    </row>
    <row r="90" spans="1:1" x14ac:dyDescent="0.2">
      <c r="A90" s="5" t="s">
        <v>380</v>
      </c>
    </row>
    <row r="91" spans="1:1" x14ac:dyDescent="0.2">
      <c r="A91" s="5" t="s">
        <v>381</v>
      </c>
    </row>
    <row r="92" spans="1:1" x14ac:dyDescent="0.2">
      <c r="A92" s="5" t="s">
        <v>382</v>
      </c>
    </row>
    <row r="93" spans="1:1" x14ac:dyDescent="0.2">
      <c r="A93" s="5" t="s">
        <v>383</v>
      </c>
    </row>
    <row r="94" spans="1:1" x14ac:dyDescent="0.2">
      <c r="A94" s="5" t="s">
        <v>384</v>
      </c>
    </row>
    <row r="95" spans="1:1" x14ac:dyDescent="0.2">
      <c r="A95" s="5" t="s">
        <v>385</v>
      </c>
    </row>
    <row r="96" spans="1:1" x14ac:dyDescent="0.2">
      <c r="A96" s="5" t="s">
        <v>386</v>
      </c>
    </row>
    <row r="97" spans="1:1" x14ac:dyDescent="0.2">
      <c r="A97" s="5" t="s">
        <v>387</v>
      </c>
    </row>
    <row r="98" spans="1:1" x14ac:dyDescent="0.2">
      <c r="A98" s="5" t="s">
        <v>388</v>
      </c>
    </row>
    <row r="99" spans="1:1" x14ac:dyDescent="0.2">
      <c r="A99" s="5" t="s">
        <v>389</v>
      </c>
    </row>
    <row r="100" spans="1:1" x14ac:dyDescent="0.2">
      <c r="A100" s="5" t="s">
        <v>390</v>
      </c>
    </row>
    <row r="101" spans="1:1" x14ac:dyDescent="0.2">
      <c r="A101" s="5" t="s">
        <v>391</v>
      </c>
    </row>
    <row r="102" spans="1:1" x14ac:dyDescent="0.2">
      <c r="A102" s="5" t="s">
        <v>392</v>
      </c>
    </row>
    <row r="103" spans="1:1" x14ac:dyDescent="0.2">
      <c r="A103" s="5" t="s">
        <v>393</v>
      </c>
    </row>
    <row r="104" spans="1:1" x14ac:dyDescent="0.2">
      <c r="A104" s="5" t="s">
        <v>394</v>
      </c>
    </row>
    <row r="105" spans="1:1" x14ac:dyDescent="0.2">
      <c r="A105" s="5" t="s">
        <v>395</v>
      </c>
    </row>
    <row r="106" spans="1:1" x14ac:dyDescent="0.2">
      <c r="A106" s="5" t="s">
        <v>396</v>
      </c>
    </row>
    <row r="107" spans="1:1" x14ac:dyDescent="0.2">
      <c r="A107" s="5" t="s">
        <v>397</v>
      </c>
    </row>
    <row r="108" spans="1:1" x14ac:dyDescent="0.2">
      <c r="A108" s="5" t="s">
        <v>398</v>
      </c>
    </row>
    <row r="109" spans="1:1" x14ac:dyDescent="0.2">
      <c r="A109" s="5" t="s">
        <v>399</v>
      </c>
    </row>
    <row r="110" spans="1:1" x14ac:dyDescent="0.2">
      <c r="A110" s="5" t="s">
        <v>400</v>
      </c>
    </row>
    <row r="111" spans="1:1" x14ac:dyDescent="0.2">
      <c r="A111" s="5" t="s">
        <v>401</v>
      </c>
    </row>
    <row r="112" spans="1:1" x14ac:dyDescent="0.2">
      <c r="A112" s="5" t="s">
        <v>402</v>
      </c>
    </row>
    <row r="113" spans="1:1" x14ac:dyDescent="0.2">
      <c r="A113" s="5" t="s">
        <v>403</v>
      </c>
    </row>
    <row r="114" spans="1:1" x14ac:dyDescent="0.2">
      <c r="A114" s="5" t="s">
        <v>404</v>
      </c>
    </row>
    <row r="115" spans="1:1" x14ac:dyDescent="0.2">
      <c r="A115" s="5" t="s">
        <v>405</v>
      </c>
    </row>
    <row r="116" spans="1:1" x14ac:dyDescent="0.2">
      <c r="A116" s="5" t="s">
        <v>406</v>
      </c>
    </row>
    <row r="117" spans="1:1" x14ac:dyDescent="0.2">
      <c r="A117" s="5" t="s">
        <v>407</v>
      </c>
    </row>
    <row r="118" spans="1:1" x14ac:dyDescent="0.2">
      <c r="A118" s="5" t="s">
        <v>408</v>
      </c>
    </row>
    <row r="119" spans="1:1" x14ac:dyDescent="0.2">
      <c r="A119" s="5" t="s">
        <v>409</v>
      </c>
    </row>
    <row r="120" spans="1:1" x14ac:dyDescent="0.2">
      <c r="A120" s="5" t="s">
        <v>410</v>
      </c>
    </row>
    <row r="121" spans="1:1" x14ac:dyDescent="0.2">
      <c r="A121" s="5" t="s">
        <v>411</v>
      </c>
    </row>
    <row r="122" spans="1:1" x14ac:dyDescent="0.2">
      <c r="A122" s="5" t="s">
        <v>412</v>
      </c>
    </row>
    <row r="123" spans="1:1" x14ac:dyDescent="0.2">
      <c r="A123" s="5" t="s">
        <v>413</v>
      </c>
    </row>
    <row r="124" spans="1:1" x14ac:dyDescent="0.2">
      <c r="A124" s="5" t="s">
        <v>414</v>
      </c>
    </row>
    <row r="125" spans="1:1" x14ac:dyDescent="0.2">
      <c r="A125" s="5" t="s">
        <v>415</v>
      </c>
    </row>
    <row r="126" spans="1:1" x14ac:dyDescent="0.2">
      <c r="A126" s="5" t="s">
        <v>416</v>
      </c>
    </row>
    <row r="127" spans="1:1" x14ac:dyDescent="0.2">
      <c r="A127" s="5" t="s">
        <v>417</v>
      </c>
    </row>
    <row r="128" spans="1:1" x14ac:dyDescent="0.2">
      <c r="A128" s="5" t="s">
        <v>418</v>
      </c>
    </row>
    <row r="129" spans="1:1" x14ac:dyDescent="0.2">
      <c r="A129" s="5" t="s">
        <v>419</v>
      </c>
    </row>
    <row r="130" spans="1:1" x14ac:dyDescent="0.2">
      <c r="A130" s="5" t="s">
        <v>420</v>
      </c>
    </row>
    <row r="131" spans="1:1" x14ac:dyDescent="0.2">
      <c r="A131" s="5" t="s">
        <v>421</v>
      </c>
    </row>
    <row r="132" spans="1:1" x14ac:dyDescent="0.2">
      <c r="A132" s="5" t="s">
        <v>422</v>
      </c>
    </row>
    <row r="133" spans="1:1" x14ac:dyDescent="0.2">
      <c r="A133" s="5" t="s">
        <v>423</v>
      </c>
    </row>
    <row r="134" spans="1:1" x14ac:dyDescent="0.2">
      <c r="A134" s="5" t="s">
        <v>424</v>
      </c>
    </row>
    <row r="135" spans="1:1" x14ac:dyDescent="0.2">
      <c r="A135" s="11"/>
    </row>
    <row r="136" spans="1:1" x14ac:dyDescent="0.2">
      <c r="A136" s="11"/>
    </row>
    <row r="137" spans="1:1" x14ac:dyDescent="0.2">
      <c r="A137" s="11"/>
    </row>
    <row r="138" spans="1:1" x14ac:dyDescent="0.2">
      <c r="A138" s="11"/>
    </row>
    <row r="139" spans="1:1" x14ac:dyDescent="0.2">
      <c r="A139" s="11"/>
    </row>
    <row r="140" spans="1:1" x14ac:dyDescent="0.2">
      <c r="A140" s="11"/>
    </row>
    <row r="141" spans="1:1" x14ac:dyDescent="0.2">
      <c r="A141" s="11"/>
    </row>
    <row r="142" spans="1:1" x14ac:dyDescent="0.2">
      <c r="A142" s="11"/>
    </row>
    <row r="143" spans="1:1" x14ac:dyDescent="0.2">
      <c r="A143" s="11"/>
    </row>
    <row r="144" spans="1:1" x14ac:dyDescent="0.2">
      <c r="A144" s="11"/>
    </row>
    <row r="145" spans="1:1" x14ac:dyDescent="0.2">
      <c r="A145" s="11"/>
    </row>
    <row r="146" spans="1:1" x14ac:dyDescent="0.2">
      <c r="A146" s="11"/>
    </row>
    <row r="147" spans="1:1" x14ac:dyDescent="0.2">
      <c r="A147" s="11"/>
    </row>
    <row r="148" spans="1:1" x14ac:dyDescent="0.2">
      <c r="A148" s="11"/>
    </row>
    <row r="149" spans="1:1" x14ac:dyDescent="0.2">
      <c r="A149" s="11"/>
    </row>
    <row r="150" spans="1:1" x14ac:dyDescent="0.2">
      <c r="A150" s="11"/>
    </row>
    <row r="151" spans="1:1" x14ac:dyDescent="0.2">
      <c r="A151" s="11"/>
    </row>
    <row r="152" spans="1:1" x14ac:dyDescent="0.2">
      <c r="A152" s="11"/>
    </row>
    <row r="153" spans="1:1" x14ac:dyDescent="0.2">
      <c r="A153" s="11"/>
    </row>
    <row r="154" spans="1:1" x14ac:dyDescent="0.2">
      <c r="A154" s="11"/>
    </row>
    <row r="155" spans="1:1" x14ac:dyDescent="0.2">
      <c r="A155" s="11"/>
    </row>
    <row r="156" spans="1:1" x14ac:dyDescent="0.2">
      <c r="A156" s="11"/>
    </row>
    <row r="157" spans="1:1" x14ac:dyDescent="0.2">
      <c r="A157" s="11"/>
    </row>
    <row r="158" spans="1:1" x14ac:dyDescent="0.2">
      <c r="A158" s="11"/>
    </row>
    <row r="159" spans="1:1" x14ac:dyDescent="0.2">
      <c r="A159" s="11"/>
    </row>
    <row r="160" spans="1:1" x14ac:dyDescent="0.2">
      <c r="A160" s="11"/>
    </row>
    <row r="161" spans="1:1" x14ac:dyDescent="0.2">
      <c r="A161" s="11"/>
    </row>
    <row r="162" spans="1:1" x14ac:dyDescent="0.2">
      <c r="A162" s="11"/>
    </row>
    <row r="163" spans="1:1" x14ac:dyDescent="0.2">
      <c r="A163" s="11"/>
    </row>
    <row r="164" spans="1:1" x14ac:dyDescent="0.2">
      <c r="A164" s="11"/>
    </row>
    <row r="165" spans="1:1" x14ac:dyDescent="0.2">
      <c r="A165" s="11"/>
    </row>
    <row r="166" spans="1:1" x14ac:dyDescent="0.2">
      <c r="A166" s="11"/>
    </row>
    <row r="167" spans="1:1" x14ac:dyDescent="0.2">
      <c r="A167" s="11"/>
    </row>
    <row r="168" spans="1:1" x14ac:dyDescent="0.2">
      <c r="A168" s="11"/>
    </row>
    <row r="169" spans="1:1" x14ac:dyDescent="0.2">
      <c r="A169" s="11"/>
    </row>
    <row r="170" spans="1:1" x14ac:dyDescent="0.2">
      <c r="A170" s="11"/>
    </row>
    <row r="171" spans="1:1" x14ac:dyDescent="0.2">
      <c r="A171" s="11"/>
    </row>
    <row r="172" spans="1:1" x14ac:dyDescent="0.2">
      <c r="A172" s="11"/>
    </row>
    <row r="173" spans="1:1" x14ac:dyDescent="0.2">
      <c r="A173" s="11"/>
    </row>
    <row r="174" spans="1:1" x14ac:dyDescent="0.2">
      <c r="A174" s="11"/>
    </row>
    <row r="175" spans="1:1" x14ac:dyDescent="0.2">
      <c r="A175" s="11"/>
    </row>
    <row r="176" spans="1:1" x14ac:dyDescent="0.2">
      <c r="A176" s="11"/>
    </row>
    <row r="177" spans="1:1" x14ac:dyDescent="0.2">
      <c r="A177" s="11"/>
    </row>
    <row r="178" spans="1:1" x14ac:dyDescent="0.2">
      <c r="A178" s="11"/>
    </row>
    <row r="179" spans="1:1" x14ac:dyDescent="0.2">
      <c r="A179" s="11"/>
    </row>
    <row r="180" spans="1:1" x14ac:dyDescent="0.2">
      <c r="A180" s="11"/>
    </row>
    <row r="181" spans="1:1" x14ac:dyDescent="0.2">
      <c r="A181" s="11"/>
    </row>
    <row r="182" spans="1:1" x14ac:dyDescent="0.2">
      <c r="A182" s="11"/>
    </row>
    <row r="183" spans="1:1" x14ac:dyDescent="0.2">
      <c r="A183" s="11"/>
    </row>
    <row r="184" spans="1:1" x14ac:dyDescent="0.2">
      <c r="A184" s="11"/>
    </row>
    <row r="185" spans="1:1" x14ac:dyDescent="0.2">
      <c r="A185" s="11"/>
    </row>
    <row r="186" spans="1:1" x14ac:dyDescent="0.2">
      <c r="A186" s="11"/>
    </row>
    <row r="187" spans="1:1" x14ac:dyDescent="0.2">
      <c r="A187" s="11"/>
    </row>
    <row r="188" spans="1:1" x14ac:dyDescent="0.2">
      <c r="A188" s="11"/>
    </row>
    <row r="189" spans="1:1" x14ac:dyDescent="0.2">
      <c r="A189" s="11"/>
    </row>
    <row r="190" spans="1:1" x14ac:dyDescent="0.2">
      <c r="A190" s="11"/>
    </row>
    <row r="191" spans="1:1" x14ac:dyDescent="0.2">
      <c r="A191" s="11"/>
    </row>
    <row r="192" spans="1:1" x14ac:dyDescent="0.2">
      <c r="A192" s="11"/>
    </row>
    <row r="193" spans="1:1" x14ac:dyDescent="0.2">
      <c r="A193" s="11"/>
    </row>
    <row r="194" spans="1:1" x14ac:dyDescent="0.2">
      <c r="A194" s="11"/>
    </row>
    <row r="195" spans="1:1" x14ac:dyDescent="0.2">
      <c r="A195" s="11"/>
    </row>
    <row r="196" spans="1:1" x14ac:dyDescent="0.2">
      <c r="A196" s="11"/>
    </row>
    <row r="197" spans="1:1" x14ac:dyDescent="0.2">
      <c r="A197" s="11"/>
    </row>
    <row r="198" spans="1:1" x14ac:dyDescent="0.2">
      <c r="A198" s="11"/>
    </row>
    <row r="199" spans="1:1" x14ac:dyDescent="0.2">
      <c r="A199" s="11"/>
    </row>
    <row r="200" spans="1:1" x14ac:dyDescent="0.2">
      <c r="A200" s="11"/>
    </row>
    <row r="201" spans="1:1" x14ac:dyDescent="0.2">
      <c r="A201" s="11"/>
    </row>
    <row r="202" spans="1:1" x14ac:dyDescent="0.2">
      <c r="A202" s="11"/>
    </row>
    <row r="203" spans="1:1" x14ac:dyDescent="0.2">
      <c r="A203" s="11"/>
    </row>
    <row r="204" spans="1:1" x14ac:dyDescent="0.2">
      <c r="A204" s="11"/>
    </row>
    <row r="205" spans="1:1" x14ac:dyDescent="0.2">
      <c r="A205" s="11"/>
    </row>
    <row r="206" spans="1:1" x14ac:dyDescent="0.2">
      <c r="A206" s="11"/>
    </row>
    <row r="207" spans="1:1" x14ac:dyDescent="0.2">
      <c r="A207" s="11"/>
    </row>
    <row r="208" spans="1:1" x14ac:dyDescent="0.2">
      <c r="A208" s="11"/>
    </row>
    <row r="209" spans="1:1" x14ac:dyDescent="0.2">
      <c r="A209" s="11"/>
    </row>
    <row r="210" spans="1:1" x14ac:dyDescent="0.2">
      <c r="A210" s="11"/>
    </row>
    <row r="211" spans="1:1" x14ac:dyDescent="0.2">
      <c r="A211" s="11"/>
    </row>
    <row r="212" spans="1:1" x14ac:dyDescent="0.2">
      <c r="A212" s="11"/>
    </row>
    <row r="213" spans="1:1" x14ac:dyDescent="0.2">
      <c r="A213" s="11"/>
    </row>
    <row r="214" spans="1:1" x14ac:dyDescent="0.2">
      <c r="A2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3"/>
  <sheetViews>
    <sheetView showGridLines="0" zoomScaleNormal="100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F5" sqref="F5"/>
    </sheetView>
  </sheetViews>
  <sheetFormatPr baseColWidth="10" defaultColWidth="8.6640625" defaultRowHeight="15" x14ac:dyDescent="0.2"/>
  <cols>
    <col min="1" max="1" width="12" customWidth="1"/>
    <col min="2" max="3" width="13" customWidth="1"/>
    <col min="4" max="4" width="20.33203125" customWidth="1"/>
    <col min="5" max="5" width="8" customWidth="1"/>
    <col min="6" max="6" width="20" customWidth="1"/>
    <col min="7" max="7" width="64" customWidth="1"/>
    <col min="8" max="8" width="10" customWidth="1"/>
    <col min="9" max="9" width="17" customWidth="1"/>
    <col min="10" max="10" width="19" customWidth="1"/>
    <col min="11" max="11" width="8" customWidth="1"/>
    <col min="12" max="12" width="24" customWidth="1"/>
  </cols>
  <sheetData>
    <row r="1" spans="1:12" ht="18" customHeight="1" x14ac:dyDescent="0.2">
      <c r="A1" s="1" t="s">
        <v>425</v>
      </c>
    </row>
    <row r="2" spans="1:12" x14ac:dyDescent="0.2">
      <c r="A2" s="2" t="s">
        <v>426</v>
      </c>
    </row>
    <row r="4" spans="1:12" ht="36" customHeight="1" x14ac:dyDescent="0.2">
      <c r="A4" s="10" t="s">
        <v>427</v>
      </c>
      <c r="B4" s="10" t="s">
        <v>428</v>
      </c>
      <c r="C4" s="10" t="s">
        <v>429</v>
      </c>
      <c r="D4" s="10" t="s">
        <v>430</v>
      </c>
      <c r="E4" s="10" t="s">
        <v>431</v>
      </c>
      <c r="F4" s="10" t="s">
        <v>40</v>
      </c>
      <c r="G4" s="10" t="s">
        <v>432</v>
      </c>
      <c r="H4" s="10" t="s">
        <v>433</v>
      </c>
      <c r="I4" s="10" t="s">
        <v>434</v>
      </c>
      <c r="J4" s="10" t="s">
        <v>435</v>
      </c>
      <c r="K4" s="10" t="s">
        <v>436</v>
      </c>
      <c r="L4" s="10" t="s">
        <v>437</v>
      </c>
    </row>
    <row r="5" spans="1:12" x14ac:dyDescent="0.2">
      <c r="A5" s="15">
        <v>46193</v>
      </c>
      <c r="B5" s="16" t="s">
        <v>438</v>
      </c>
      <c r="C5" s="17" t="s">
        <v>439</v>
      </c>
      <c r="D5" s="18" t="s">
        <v>440</v>
      </c>
      <c r="E5" s="16">
        <v>1</v>
      </c>
      <c r="F5" s="7" t="s">
        <v>206</v>
      </c>
      <c r="G5" s="19" t="s">
        <v>441</v>
      </c>
      <c r="H5" s="20">
        <v>4</v>
      </c>
      <c r="I5" s="21">
        <v>6000000</v>
      </c>
      <c r="J5" s="22">
        <f t="shared" ref="J5:J51" si="0">H5*I5</f>
        <v>24000000</v>
      </c>
      <c r="K5" s="23">
        <v>0.08</v>
      </c>
      <c r="L5" s="24"/>
    </row>
    <row r="6" spans="1:12" ht="26" customHeight="1" x14ac:dyDescent="0.2">
      <c r="A6" s="15">
        <v>46193</v>
      </c>
      <c r="B6" s="16" t="s">
        <v>438</v>
      </c>
      <c r="C6" s="17" t="s">
        <v>442</v>
      </c>
      <c r="D6" s="18" t="s">
        <v>440</v>
      </c>
      <c r="E6" s="16">
        <v>2</v>
      </c>
      <c r="F6" s="7" t="s">
        <v>141</v>
      </c>
      <c r="G6" s="19" t="s">
        <v>443</v>
      </c>
      <c r="H6" s="20">
        <v>1</v>
      </c>
      <c r="I6" s="21">
        <v>22000000</v>
      </c>
      <c r="J6" s="22">
        <f t="shared" si="0"/>
        <v>22000000</v>
      </c>
      <c r="K6" s="23">
        <v>0.08</v>
      </c>
      <c r="L6" s="24"/>
    </row>
    <row r="7" spans="1:12" ht="26" customHeight="1" x14ac:dyDescent="0.2">
      <c r="A7" s="15">
        <v>46193</v>
      </c>
      <c r="B7" s="16" t="s">
        <v>438</v>
      </c>
      <c r="C7" s="17" t="s">
        <v>444</v>
      </c>
      <c r="D7" s="18" t="s">
        <v>440</v>
      </c>
      <c r="E7" s="16">
        <v>3</v>
      </c>
      <c r="F7" s="7" t="s">
        <v>167</v>
      </c>
      <c r="G7" s="19" t="s">
        <v>445</v>
      </c>
      <c r="H7" s="20">
        <v>1</v>
      </c>
      <c r="I7" s="21">
        <v>22000000</v>
      </c>
      <c r="J7" s="22">
        <f t="shared" si="0"/>
        <v>22000000</v>
      </c>
      <c r="K7" s="23">
        <v>0.08</v>
      </c>
      <c r="L7" s="24"/>
    </row>
    <row r="8" spans="1:12" ht="26" customHeight="1" x14ac:dyDescent="0.2">
      <c r="A8" s="15">
        <v>46193</v>
      </c>
      <c r="B8" s="16" t="s">
        <v>438</v>
      </c>
      <c r="C8" s="17" t="s">
        <v>446</v>
      </c>
      <c r="D8" s="18" t="s">
        <v>440</v>
      </c>
      <c r="E8" s="16">
        <v>4</v>
      </c>
      <c r="F8" s="7" t="s">
        <v>167</v>
      </c>
      <c r="G8" s="19" t="s">
        <v>445</v>
      </c>
      <c r="H8" s="20">
        <v>1</v>
      </c>
      <c r="I8" s="21">
        <v>22000000</v>
      </c>
      <c r="J8" s="22">
        <f t="shared" si="0"/>
        <v>22000000</v>
      </c>
      <c r="K8" s="23">
        <v>0.08</v>
      </c>
      <c r="L8" s="24"/>
    </row>
    <row r="9" spans="1:12" x14ac:dyDescent="0.2">
      <c r="A9" s="15">
        <v>46193</v>
      </c>
      <c r="B9" s="16" t="s">
        <v>438</v>
      </c>
      <c r="C9" s="17" t="s">
        <v>447</v>
      </c>
      <c r="D9" s="18" t="s">
        <v>440</v>
      </c>
      <c r="E9" s="16">
        <v>5</v>
      </c>
      <c r="F9" s="7" t="s">
        <v>204</v>
      </c>
      <c r="G9" s="19" t="s">
        <v>448</v>
      </c>
      <c r="H9" s="20">
        <v>12</v>
      </c>
      <c r="I9" s="21">
        <v>5000000</v>
      </c>
      <c r="J9" s="22">
        <f t="shared" si="0"/>
        <v>60000000</v>
      </c>
      <c r="K9" s="23">
        <v>0.08</v>
      </c>
      <c r="L9" s="24"/>
    </row>
    <row r="10" spans="1:12" ht="26" customHeight="1" x14ac:dyDescent="0.2">
      <c r="A10" s="15">
        <v>46193</v>
      </c>
      <c r="B10" s="16" t="s">
        <v>438</v>
      </c>
      <c r="C10" s="17" t="s">
        <v>449</v>
      </c>
      <c r="D10" s="18" t="s">
        <v>440</v>
      </c>
      <c r="E10" s="16">
        <v>6</v>
      </c>
      <c r="F10" s="7" t="s">
        <v>240</v>
      </c>
      <c r="G10" s="19" t="s">
        <v>450</v>
      </c>
      <c r="H10" s="20">
        <v>11</v>
      </c>
      <c r="I10" s="21">
        <v>7000000</v>
      </c>
      <c r="J10" s="22">
        <f t="shared" si="0"/>
        <v>77000000</v>
      </c>
      <c r="K10" s="23">
        <v>0.08</v>
      </c>
      <c r="L10" s="24"/>
    </row>
    <row r="11" spans="1:12" ht="26" customHeight="1" x14ac:dyDescent="0.2">
      <c r="A11" s="15">
        <v>46193</v>
      </c>
      <c r="B11" s="16" t="s">
        <v>438</v>
      </c>
      <c r="C11" s="17" t="s">
        <v>451</v>
      </c>
      <c r="D11" s="18" t="s">
        <v>440</v>
      </c>
      <c r="E11" s="16">
        <v>7</v>
      </c>
      <c r="F11" s="7" t="s">
        <v>191</v>
      </c>
      <c r="G11" s="19" t="s">
        <v>452</v>
      </c>
      <c r="H11" s="20">
        <v>2</v>
      </c>
      <c r="I11" s="21">
        <v>9000000</v>
      </c>
      <c r="J11" s="22">
        <f t="shared" si="0"/>
        <v>18000000</v>
      </c>
      <c r="K11" s="23">
        <v>0.08</v>
      </c>
      <c r="L11" s="24"/>
    </row>
    <row r="12" spans="1:12" ht="26" customHeight="1" x14ac:dyDescent="0.2">
      <c r="A12" s="15">
        <v>46193</v>
      </c>
      <c r="B12" s="16" t="s">
        <v>438</v>
      </c>
      <c r="C12" s="17" t="s">
        <v>453</v>
      </c>
      <c r="D12" s="18" t="s">
        <v>440</v>
      </c>
      <c r="E12" s="16">
        <v>8</v>
      </c>
      <c r="F12" s="7" t="s">
        <v>127</v>
      </c>
      <c r="G12" s="19" t="s">
        <v>454</v>
      </c>
      <c r="H12" s="20">
        <v>2</v>
      </c>
      <c r="I12" s="21">
        <v>10000000</v>
      </c>
      <c r="J12" s="22">
        <f t="shared" si="0"/>
        <v>20000000</v>
      </c>
      <c r="K12" s="23">
        <v>0.08</v>
      </c>
      <c r="L12" s="24"/>
    </row>
    <row r="13" spans="1:12" ht="26" customHeight="1" x14ac:dyDescent="0.2">
      <c r="A13" s="15">
        <v>46193</v>
      </c>
      <c r="B13" s="16" t="s">
        <v>438</v>
      </c>
      <c r="C13" s="17" t="s">
        <v>455</v>
      </c>
      <c r="D13" s="18" t="s">
        <v>440</v>
      </c>
      <c r="E13" s="16">
        <v>9</v>
      </c>
      <c r="F13" s="7" t="s">
        <v>224</v>
      </c>
      <c r="G13" s="19" t="s">
        <v>456</v>
      </c>
      <c r="H13" s="20">
        <v>2</v>
      </c>
      <c r="I13" s="21">
        <v>7000000</v>
      </c>
      <c r="J13" s="22">
        <f t="shared" si="0"/>
        <v>14000000</v>
      </c>
      <c r="K13" s="23">
        <v>0.08</v>
      </c>
      <c r="L13" s="24"/>
    </row>
    <row r="14" spans="1:12" ht="26" customHeight="1" x14ac:dyDescent="0.2">
      <c r="A14" s="15">
        <v>46193</v>
      </c>
      <c r="B14" s="16" t="s">
        <v>438</v>
      </c>
      <c r="C14" s="17" t="s">
        <v>457</v>
      </c>
      <c r="D14" s="18" t="s">
        <v>440</v>
      </c>
      <c r="E14" s="16">
        <v>10</v>
      </c>
      <c r="F14" s="7" t="s">
        <v>99</v>
      </c>
      <c r="G14" s="19" t="s">
        <v>458</v>
      </c>
      <c r="H14" s="20">
        <v>1</v>
      </c>
      <c r="I14" s="21">
        <v>12000000</v>
      </c>
      <c r="J14" s="22">
        <f t="shared" si="0"/>
        <v>12000000</v>
      </c>
      <c r="K14" s="23">
        <v>0.08</v>
      </c>
      <c r="L14" s="24"/>
    </row>
    <row r="15" spans="1:12" ht="26" customHeight="1" x14ac:dyDescent="0.2">
      <c r="A15" s="15">
        <v>46193</v>
      </c>
      <c r="B15" s="16" t="s">
        <v>438</v>
      </c>
      <c r="C15" s="17" t="s">
        <v>459</v>
      </c>
      <c r="D15" s="18" t="s">
        <v>440</v>
      </c>
      <c r="E15" s="16">
        <v>11</v>
      </c>
      <c r="F15" s="7" t="s">
        <v>176</v>
      </c>
      <c r="G15" s="19" t="s">
        <v>460</v>
      </c>
      <c r="H15" s="20">
        <v>1</v>
      </c>
      <c r="I15" s="21">
        <v>12000000</v>
      </c>
      <c r="J15" s="22">
        <f t="shared" si="0"/>
        <v>12000000</v>
      </c>
      <c r="K15" s="23">
        <v>0.08</v>
      </c>
      <c r="L15" s="24"/>
    </row>
    <row r="16" spans="1:12" ht="26" customHeight="1" x14ac:dyDescent="0.2">
      <c r="A16" s="15">
        <v>46193</v>
      </c>
      <c r="B16" s="16" t="s">
        <v>438</v>
      </c>
      <c r="C16" s="17" t="s">
        <v>461</v>
      </c>
      <c r="D16" s="18" t="s">
        <v>440</v>
      </c>
      <c r="E16" s="16">
        <v>12</v>
      </c>
      <c r="F16" s="7" t="s">
        <v>226</v>
      </c>
      <c r="G16" s="19" t="s">
        <v>462</v>
      </c>
      <c r="H16" s="20">
        <v>1</v>
      </c>
      <c r="I16" s="21">
        <v>12000000</v>
      </c>
      <c r="J16" s="22">
        <f t="shared" si="0"/>
        <v>12000000</v>
      </c>
      <c r="K16" s="23">
        <v>0.08</v>
      </c>
      <c r="L16" s="24"/>
    </row>
    <row r="17" spans="1:12" ht="26" customHeight="1" x14ac:dyDescent="0.2">
      <c r="A17" s="15">
        <v>46193</v>
      </c>
      <c r="B17" s="16" t="s">
        <v>438</v>
      </c>
      <c r="C17" s="17" t="s">
        <v>463</v>
      </c>
      <c r="D17" s="18" t="s">
        <v>440</v>
      </c>
      <c r="E17" s="16">
        <v>13</v>
      </c>
      <c r="F17" s="7" t="s">
        <v>222</v>
      </c>
      <c r="G17" s="19" t="s">
        <v>464</v>
      </c>
      <c r="H17" s="20">
        <v>2</v>
      </c>
      <c r="I17" s="21">
        <v>6000000</v>
      </c>
      <c r="J17" s="22">
        <f t="shared" si="0"/>
        <v>12000000</v>
      </c>
      <c r="K17" s="23">
        <v>0.08</v>
      </c>
      <c r="L17" s="24"/>
    </row>
    <row r="18" spans="1:12" ht="26" customHeight="1" x14ac:dyDescent="0.2">
      <c r="A18" s="15">
        <v>46193</v>
      </c>
      <c r="B18" s="16" t="s">
        <v>438</v>
      </c>
      <c r="C18" s="17" t="s">
        <v>465</v>
      </c>
      <c r="D18" s="18" t="s">
        <v>440</v>
      </c>
      <c r="E18" s="16">
        <v>14</v>
      </c>
      <c r="F18" s="7" t="s">
        <v>173</v>
      </c>
      <c r="G18" s="19" t="s">
        <v>466</v>
      </c>
      <c r="H18" s="20">
        <v>2</v>
      </c>
      <c r="I18" s="21">
        <v>6000000</v>
      </c>
      <c r="J18" s="22">
        <f t="shared" si="0"/>
        <v>12000000</v>
      </c>
      <c r="K18" s="23">
        <v>0.08</v>
      </c>
      <c r="L18" s="24"/>
    </row>
    <row r="19" spans="1:12" ht="26" customHeight="1" x14ac:dyDescent="0.2">
      <c r="A19" s="15">
        <v>46193</v>
      </c>
      <c r="B19" s="16" t="s">
        <v>438</v>
      </c>
      <c r="C19" s="17" t="s">
        <v>467</v>
      </c>
      <c r="D19" s="18" t="s">
        <v>440</v>
      </c>
      <c r="E19" s="16">
        <v>15</v>
      </c>
      <c r="F19" s="7" t="s">
        <v>136</v>
      </c>
      <c r="G19" s="19" t="s">
        <v>468</v>
      </c>
      <c r="H19" s="20">
        <v>8</v>
      </c>
      <c r="I19" s="21">
        <v>11000000</v>
      </c>
      <c r="J19" s="22">
        <f t="shared" si="0"/>
        <v>88000000</v>
      </c>
      <c r="K19" s="23">
        <v>0.08</v>
      </c>
      <c r="L19" s="24"/>
    </row>
    <row r="20" spans="1:12" ht="26" customHeight="1" x14ac:dyDescent="0.2">
      <c r="A20" s="15">
        <v>46193</v>
      </c>
      <c r="B20" s="16" t="s">
        <v>438</v>
      </c>
      <c r="C20" s="17" t="s">
        <v>469</v>
      </c>
      <c r="D20" s="18" t="s">
        <v>440</v>
      </c>
      <c r="E20" s="16">
        <v>16</v>
      </c>
      <c r="F20" s="7" t="s">
        <v>161</v>
      </c>
      <c r="G20" s="19" t="s">
        <v>470</v>
      </c>
      <c r="H20" s="20">
        <v>2</v>
      </c>
      <c r="I20" s="21">
        <v>9500000</v>
      </c>
      <c r="J20" s="22">
        <f t="shared" si="0"/>
        <v>19000000</v>
      </c>
      <c r="K20" s="23">
        <v>0.08</v>
      </c>
      <c r="L20" s="24"/>
    </row>
    <row r="21" spans="1:12" ht="26" customHeight="1" x14ac:dyDescent="0.2">
      <c r="A21" s="15">
        <v>46193</v>
      </c>
      <c r="B21" s="16" t="s">
        <v>438</v>
      </c>
      <c r="C21" s="17" t="s">
        <v>471</v>
      </c>
      <c r="D21" s="18" t="s">
        <v>440</v>
      </c>
      <c r="E21" s="16">
        <v>17</v>
      </c>
      <c r="F21" s="7" t="s">
        <v>242</v>
      </c>
      <c r="G21" s="19" t="s">
        <v>472</v>
      </c>
      <c r="H21" s="20">
        <v>1</v>
      </c>
      <c r="I21" s="21">
        <v>8500000</v>
      </c>
      <c r="J21" s="22">
        <f t="shared" si="0"/>
        <v>8500000</v>
      </c>
      <c r="K21" s="23">
        <v>0.08</v>
      </c>
      <c r="L21" s="24"/>
    </row>
    <row r="22" spans="1:12" ht="26" customHeight="1" x14ac:dyDescent="0.2">
      <c r="A22" s="15">
        <v>46193</v>
      </c>
      <c r="B22" s="16" t="s">
        <v>438</v>
      </c>
      <c r="C22" s="17" t="s">
        <v>473</v>
      </c>
      <c r="D22" s="18" t="s">
        <v>440</v>
      </c>
      <c r="E22" s="16">
        <v>18</v>
      </c>
      <c r="F22" s="7" t="s">
        <v>240</v>
      </c>
      <c r="G22" s="19" t="s">
        <v>474</v>
      </c>
      <c r="H22" s="20">
        <v>1</v>
      </c>
      <c r="I22" s="21">
        <v>7000000</v>
      </c>
      <c r="J22" s="22">
        <f t="shared" si="0"/>
        <v>7000000</v>
      </c>
      <c r="K22" s="23">
        <v>0.08</v>
      </c>
      <c r="L22" s="24"/>
    </row>
    <row r="23" spans="1:12" ht="26" customHeight="1" x14ac:dyDescent="0.2">
      <c r="A23" s="15">
        <v>46193</v>
      </c>
      <c r="B23" s="16" t="s">
        <v>438</v>
      </c>
      <c r="C23" s="17" t="s">
        <v>475</v>
      </c>
      <c r="D23" s="18" t="s">
        <v>440</v>
      </c>
      <c r="E23" s="16">
        <v>19</v>
      </c>
      <c r="F23" s="7" t="s">
        <v>129</v>
      </c>
      <c r="G23" s="19" t="s">
        <v>476</v>
      </c>
      <c r="H23" s="20">
        <v>6</v>
      </c>
      <c r="I23" s="21">
        <v>9800000</v>
      </c>
      <c r="J23" s="22">
        <f t="shared" si="0"/>
        <v>58800000</v>
      </c>
      <c r="K23" s="23">
        <v>0.08</v>
      </c>
      <c r="L23" s="24"/>
    </row>
    <row r="24" spans="1:12" ht="26" customHeight="1" x14ac:dyDescent="0.2">
      <c r="A24" s="15">
        <v>46196</v>
      </c>
      <c r="B24" s="16" t="s">
        <v>477</v>
      </c>
      <c r="C24" s="17" t="s">
        <v>478</v>
      </c>
      <c r="D24" s="18" t="s">
        <v>440</v>
      </c>
      <c r="E24" s="16">
        <v>1</v>
      </c>
      <c r="F24" s="7" t="s">
        <v>95</v>
      </c>
      <c r="G24" s="19" t="s">
        <v>479</v>
      </c>
      <c r="H24" s="20">
        <v>1</v>
      </c>
      <c r="I24" s="21">
        <v>6000000</v>
      </c>
      <c r="J24" s="22">
        <f t="shared" si="0"/>
        <v>6000000</v>
      </c>
      <c r="K24" s="23">
        <v>0.08</v>
      </c>
      <c r="L24" s="24"/>
    </row>
    <row r="25" spans="1:12" ht="26" customHeight="1" x14ac:dyDescent="0.2">
      <c r="A25" s="15">
        <v>46196</v>
      </c>
      <c r="B25" s="16" t="s">
        <v>477</v>
      </c>
      <c r="C25" s="17" t="s">
        <v>480</v>
      </c>
      <c r="D25" s="18" t="s">
        <v>440</v>
      </c>
      <c r="E25" s="16">
        <v>2</v>
      </c>
      <c r="F25" s="7" t="s">
        <v>173</v>
      </c>
      <c r="G25" s="19" t="s">
        <v>466</v>
      </c>
      <c r="H25" s="20">
        <v>1</v>
      </c>
      <c r="I25" s="21">
        <v>6000000</v>
      </c>
      <c r="J25" s="22">
        <f t="shared" si="0"/>
        <v>6000000</v>
      </c>
      <c r="K25" s="23">
        <v>0.08</v>
      </c>
      <c r="L25" s="24"/>
    </row>
    <row r="26" spans="1:12" ht="26" customHeight="1" x14ac:dyDescent="0.2">
      <c r="A26" s="15">
        <v>46196</v>
      </c>
      <c r="B26" s="16" t="s">
        <v>477</v>
      </c>
      <c r="C26" s="17" t="s">
        <v>481</v>
      </c>
      <c r="D26" s="18" t="s">
        <v>440</v>
      </c>
      <c r="E26" s="16">
        <v>3</v>
      </c>
      <c r="F26" s="7" t="s">
        <v>189</v>
      </c>
      <c r="G26" s="19" t="s">
        <v>482</v>
      </c>
      <c r="H26" s="20">
        <v>1</v>
      </c>
      <c r="I26" s="21">
        <v>8500000</v>
      </c>
      <c r="J26" s="22">
        <f t="shared" si="0"/>
        <v>8500000</v>
      </c>
      <c r="K26" s="23">
        <v>0.08</v>
      </c>
      <c r="L26" s="24"/>
    </row>
    <row r="27" spans="1:12" ht="26" customHeight="1" x14ac:dyDescent="0.2">
      <c r="A27" s="15">
        <v>46196</v>
      </c>
      <c r="B27" s="16" t="s">
        <v>477</v>
      </c>
      <c r="C27" s="17" t="s">
        <v>483</v>
      </c>
      <c r="D27" s="18" t="s">
        <v>440</v>
      </c>
      <c r="E27" s="16">
        <v>4</v>
      </c>
      <c r="F27" s="7" t="s">
        <v>222</v>
      </c>
      <c r="G27" s="19" t="s">
        <v>464</v>
      </c>
      <c r="H27" s="20">
        <v>1</v>
      </c>
      <c r="I27" s="21">
        <v>6000000</v>
      </c>
      <c r="J27" s="22">
        <f t="shared" si="0"/>
        <v>6000000</v>
      </c>
      <c r="K27" s="23">
        <v>0.08</v>
      </c>
      <c r="L27" s="24"/>
    </row>
    <row r="28" spans="1:12" ht="26" customHeight="1" x14ac:dyDescent="0.2">
      <c r="A28" s="15">
        <v>46196</v>
      </c>
      <c r="B28" s="16" t="s">
        <v>477</v>
      </c>
      <c r="C28" s="17" t="s">
        <v>484</v>
      </c>
      <c r="D28" s="18" t="s">
        <v>440</v>
      </c>
      <c r="E28" s="16">
        <v>5</v>
      </c>
      <c r="F28" s="7" t="s">
        <v>91</v>
      </c>
      <c r="G28" s="19" t="s">
        <v>485</v>
      </c>
      <c r="H28" s="20">
        <v>1</v>
      </c>
      <c r="I28" s="21">
        <v>3400000</v>
      </c>
      <c r="J28" s="22">
        <f t="shared" si="0"/>
        <v>3400000</v>
      </c>
      <c r="K28" s="23">
        <v>0.08</v>
      </c>
      <c r="L28" s="24"/>
    </row>
    <row r="29" spans="1:12" ht="26" customHeight="1" x14ac:dyDescent="0.2">
      <c r="A29" s="15">
        <v>46196</v>
      </c>
      <c r="B29" s="16" t="s">
        <v>477</v>
      </c>
      <c r="C29" s="17" t="s">
        <v>486</v>
      </c>
      <c r="D29" s="18" t="s">
        <v>440</v>
      </c>
      <c r="E29" s="16">
        <v>6</v>
      </c>
      <c r="F29" s="7" t="s">
        <v>171</v>
      </c>
      <c r="G29" s="19" t="s">
        <v>487</v>
      </c>
      <c r="H29" s="20">
        <v>1</v>
      </c>
      <c r="I29" s="21">
        <v>3400000</v>
      </c>
      <c r="J29" s="22">
        <f t="shared" si="0"/>
        <v>3400000</v>
      </c>
      <c r="K29" s="23">
        <v>0.08</v>
      </c>
      <c r="L29" s="24"/>
    </row>
    <row r="30" spans="1:12" ht="26" customHeight="1" x14ac:dyDescent="0.2">
      <c r="A30" s="15">
        <v>46196</v>
      </c>
      <c r="B30" s="16" t="s">
        <v>477</v>
      </c>
      <c r="C30" s="17" t="s">
        <v>488</v>
      </c>
      <c r="D30" s="18" t="s">
        <v>440</v>
      </c>
      <c r="E30" s="16">
        <v>7</v>
      </c>
      <c r="F30" s="7" t="s">
        <v>185</v>
      </c>
      <c r="G30" s="19" t="s">
        <v>489</v>
      </c>
      <c r="H30" s="20">
        <v>4</v>
      </c>
      <c r="I30" s="21">
        <v>3400000</v>
      </c>
      <c r="J30" s="22">
        <f t="shared" si="0"/>
        <v>13600000</v>
      </c>
      <c r="K30" s="23">
        <v>0.08</v>
      </c>
      <c r="L30" s="24"/>
    </row>
    <row r="31" spans="1:12" ht="26" customHeight="1" x14ac:dyDescent="0.2">
      <c r="A31" s="15">
        <v>46196</v>
      </c>
      <c r="B31" s="16" t="s">
        <v>477</v>
      </c>
      <c r="C31" s="17" t="s">
        <v>490</v>
      </c>
      <c r="D31" s="18" t="s">
        <v>440</v>
      </c>
      <c r="E31" s="16">
        <v>8</v>
      </c>
      <c r="F31" s="7" t="s">
        <v>221</v>
      </c>
      <c r="G31" s="19" t="s">
        <v>491</v>
      </c>
      <c r="H31" s="20">
        <v>1</v>
      </c>
      <c r="I31" s="21">
        <v>3400000</v>
      </c>
      <c r="J31" s="22">
        <f t="shared" si="0"/>
        <v>3400000</v>
      </c>
      <c r="K31" s="23">
        <v>0.08</v>
      </c>
      <c r="L31" s="24"/>
    </row>
    <row r="32" spans="1:12" x14ac:dyDescent="0.2">
      <c r="A32" s="15">
        <v>46196</v>
      </c>
      <c r="B32" s="16" t="s">
        <v>477</v>
      </c>
      <c r="C32" s="17" t="s">
        <v>492</v>
      </c>
      <c r="D32" s="18" t="s">
        <v>440</v>
      </c>
      <c r="E32" s="16">
        <v>9</v>
      </c>
      <c r="F32" s="7" t="s">
        <v>198</v>
      </c>
      <c r="G32" s="19" t="s">
        <v>493</v>
      </c>
      <c r="H32" s="20">
        <v>3</v>
      </c>
      <c r="I32" s="21">
        <v>3200000</v>
      </c>
      <c r="J32" s="22">
        <f t="shared" si="0"/>
        <v>9600000</v>
      </c>
      <c r="K32" s="23">
        <v>0.08</v>
      </c>
      <c r="L32" s="24"/>
    </row>
    <row r="33" spans="1:12" ht="26" customHeight="1" x14ac:dyDescent="0.2">
      <c r="A33" s="15">
        <v>46196</v>
      </c>
      <c r="B33" s="16" t="s">
        <v>477</v>
      </c>
      <c r="C33" s="17" t="s">
        <v>494</v>
      </c>
      <c r="D33" s="18" t="s">
        <v>440</v>
      </c>
      <c r="E33" s="16">
        <v>10</v>
      </c>
      <c r="F33" s="7" t="s">
        <v>110</v>
      </c>
      <c r="G33" s="19" t="s">
        <v>495</v>
      </c>
      <c r="H33" s="20">
        <v>1</v>
      </c>
      <c r="I33" s="21">
        <v>3400000</v>
      </c>
      <c r="J33" s="22">
        <f t="shared" si="0"/>
        <v>3400000</v>
      </c>
      <c r="K33" s="23">
        <v>0.08</v>
      </c>
      <c r="L33" s="24"/>
    </row>
    <row r="34" spans="1:12" ht="26" customHeight="1" x14ac:dyDescent="0.2">
      <c r="A34" s="15">
        <v>46196</v>
      </c>
      <c r="B34" s="16" t="s">
        <v>477</v>
      </c>
      <c r="C34" s="17" t="s">
        <v>496</v>
      </c>
      <c r="D34" s="18" t="s">
        <v>440</v>
      </c>
      <c r="E34" s="16">
        <v>11</v>
      </c>
      <c r="F34" s="7" t="s">
        <v>238</v>
      </c>
      <c r="G34" s="19" t="s">
        <v>497</v>
      </c>
      <c r="H34" s="20">
        <v>3</v>
      </c>
      <c r="I34" s="21">
        <v>4800000</v>
      </c>
      <c r="J34" s="22">
        <f t="shared" si="0"/>
        <v>14400000</v>
      </c>
      <c r="K34" s="23">
        <v>0.08</v>
      </c>
      <c r="L34" s="24"/>
    </row>
    <row r="35" spans="1:12" ht="26" customHeight="1" x14ac:dyDescent="0.2">
      <c r="A35" s="15">
        <v>46196</v>
      </c>
      <c r="B35" s="16" t="s">
        <v>477</v>
      </c>
      <c r="C35" s="17" t="s">
        <v>498</v>
      </c>
      <c r="D35" s="18" t="s">
        <v>440</v>
      </c>
      <c r="E35" s="16">
        <v>12</v>
      </c>
      <c r="F35" s="7" t="s">
        <v>242</v>
      </c>
      <c r="G35" s="19" t="s">
        <v>499</v>
      </c>
      <c r="H35" s="20">
        <v>3</v>
      </c>
      <c r="I35" s="21">
        <v>8500000</v>
      </c>
      <c r="J35" s="22">
        <f t="shared" si="0"/>
        <v>25500000</v>
      </c>
      <c r="K35" s="23">
        <v>0.08</v>
      </c>
      <c r="L35" s="24"/>
    </row>
    <row r="36" spans="1:12" ht="26" customHeight="1" x14ac:dyDescent="0.2">
      <c r="A36" s="15">
        <v>46196</v>
      </c>
      <c r="B36" s="16" t="s">
        <v>477</v>
      </c>
      <c r="C36" s="17" t="s">
        <v>500</v>
      </c>
      <c r="D36" s="18" t="s">
        <v>440</v>
      </c>
      <c r="E36" s="16">
        <v>13</v>
      </c>
      <c r="F36" s="7" t="s">
        <v>242</v>
      </c>
      <c r="G36" s="19" t="s">
        <v>501</v>
      </c>
      <c r="H36" s="20">
        <v>3</v>
      </c>
      <c r="I36" s="21">
        <v>8500000</v>
      </c>
      <c r="J36" s="22">
        <f t="shared" si="0"/>
        <v>25500000</v>
      </c>
      <c r="K36" s="23">
        <v>0.08</v>
      </c>
      <c r="L36" s="24"/>
    </row>
    <row r="37" spans="1:12" ht="26" customHeight="1" x14ac:dyDescent="0.2">
      <c r="A37" s="15">
        <v>46196</v>
      </c>
      <c r="B37" s="16" t="s">
        <v>477</v>
      </c>
      <c r="C37" s="17" t="s">
        <v>502</v>
      </c>
      <c r="D37" s="18" t="s">
        <v>440</v>
      </c>
      <c r="E37" s="16">
        <v>14</v>
      </c>
      <c r="F37" s="7" t="s">
        <v>139</v>
      </c>
      <c r="G37" s="19" t="s">
        <v>503</v>
      </c>
      <c r="H37" s="20">
        <v>2</v>
      </c>
      <c r="I37" s="21">
        <v>12100000</v>
      </c>
      <c r="J37" s="22">
        <f t="shared" si="0"/>
        <v>24200000</v>
      </c>
      <c r="K37" s="23">
        <v>0.08</v>
      </c>
      <c r="L37" s="24"/>
    </row>
    <row r="38" spans="1:12" ht="26" customHeight="1" x14ac:dyDescent="0.2">
      <c r="A38" s="15">
        <v>46196</v>
      </c>
      <c r="B38" s="16" t="s">
        <v>477</v>
      </c>
      <c r="C38" s="17" t="s">
        <v>504</v>
      </c>
      <c r="D38" s="18" t="s">
        <v>440</v>
      </c>
      <c r="E38" s="16">
        <v>15</v>
      </c>
      <c r="F38" s="7" t="s">
        <v>139</v>
      </c>
      <c r="G38" s="19" t="s">
        <v>503</v>
      </c>
      <c r="H38" s="20">
        <v>2</v>
      </c>
      <c r="I38" s="21">
        <v>12100000</v>
      </c>
      <c r="J38" s="22">
        <f t="shared" si="0"/>
        <v>24200000</v>
      </c>
      <c r="K38" s="23">
        <v>0.08</v>
      </c>
      <c r="L38" s="24"/>
    </row>
    <row r="39" spans="1:12" ht="26" customHeight="1" x14ac:dyDescent="0.2">
      <c r="A39" s="15">
        <v>46196</v>
      </c>
      <c r="B39" s="16" t="s">
        <v>477</v>
      </c>
      <c r="C39" s="17" t="s">
        <v>505</v>
      </c>
      <c r="D39" s="18" t="s">
        <v>440</v>
      </c>
      <c r="E39" s="16">
        <v>16</v>
      </c>
      <c r="F39" s="7" t="s">
        <v>163</v>
      </c>
      <c r="G39" s="19" t="s">
        <v>506</v>
      </c>
      <c r="H39" s="20">
        <v>2</v>
      </c>
      <c r="I39" s="21">
        <v>10200000</v>
      </c>
      <c r="J39" s="22">
        <f t="shared" si="0"/>
        <v>20400000</v>
      </c>
      <c r="K39" s="23">
        <v>0.08</v>
      </c>
      <c r="L39" s="24"/>
    </row>
    <row r="40" spans="1:12" ht="26" customHeight="1" x14ac:dyDescent="0.2">
      <c r="A40" s="15">
        <v>46196</v>
      </c>
      <c r="B40" s="16" t="s">
        <v>477</v>
      </c>
      <c r="C40" s="17" t="s">
        <v>507</v>
      </c>
      <c r="D40" s="18" t="s">
        <v>440</v>
      </c>
      <c r="E40" s="16">
        <v>17</v>
      </c>
      <c r="F40" s="7" t="s">
        <v>163</v>
      </c>
      <c r="G40" s="19" t="s">
        <v>506</v>
      </c>
      <c r="H40" s="20">
        <v>2</v>
      </c>
      <c r="I40" s="21">
        <v>10200000</v>
      </c>
      <c r="J40" s="22">
        <f t="shared" si="0"/>
        <v>20400000</v>
      </c>
      <c r="K40" s="23">
        <v>0.08</v>
      </c>
      <c r="L40" s="24"/>
    </row>
    <row r="41" spans="1:12" ht="26" customHeight="1" x14ac:dyDescent="0.2">
      <c r="A41" s="15">
        <v>46196</v>
      </c>
      <c r="B41" s="16" t="s">
        <v>477</v>
      </c>
      <c r="C41" s="17" t="s">
        <v>508</v>
      </c>
      <c r="D41" s="18" t="s">
        <v>440</v>
      </c>
      <c r="E41" s="16">
        <v>18</v>
      </c>
      <c r="F41" s="7" t="s">
        <v>134</v>
      </c>
      <c r="G41" s="19" t="s">
        <v>509</v>
      </c>
      <c r="H41" s="20">
        <v>1</v>
      </c>
      <c r="I41" s="21">
        <v>22200000</v>
      </c>
      <c r="J41" s="22">
        <f t="shared" si="0"/>
        <v>22200000</v>
      </c>
      <c r="K41" s="23">
        <v>0.08</v>
      </c>
      <c r="L41" s="24"/>
    </row>
    <row r="42" spans="1:12" ht="26" customHeight="1" x14ac:dyDescent="0.2">
      <c r="A42" s="15">
        <v>46196</v>
      </c>
      <c r="B42" s="16" t="s">
        <v>477</v>
      </c>
      <c r="C42" s="17" t="s">
        <v>510</v>
      </c>
      <c r="D42" s="18" t="s">
        <v>440</v>
      </c>
      <c r="E42" s="16">
        <v>19</v>
      </c>
      <c r="F42" s="7" t="s">
        <v>240</v>
      </c>
      <c r="G42" s="19" t="s">
        <v>511</v>
      </c>
      <c r="H42" s="20">
        <v>3</v>
      </c>
      <c r="I42" s="21">
        <v>7000000</v>
      </c>
      <c r="J42" s="22">
        <f t="shared" si="0"/>
        <v>21000000</v>
      </c>
      <c r="K42" s="23">
        <v>0.08</v>
      </c>
      <c r="L42" s="24"/>
    </row>
    <row r="43" spans="1:12" ht="26" customHeight="1" x14ac:dyDescent="0.2">
      <c r="A43" s="15">
        <v>46196</v>
      </c>
      <c r="B43" s="16" t="s">
        <v>477</v>
      </c>
      <c r="C43" s="17" t="s">
        <v>512</v>
      </c>
      <c r="D43" s="18" t="s">
        <v>440</v>
      </c>
      <c r="E43" s="16">
        <v>20</v>
      </c>
      <c r="F43" s="7" t="s">
        <v>240</v>
      </c>
      <c r="G43" s="19" t="s">
        <v>513</v>
      </c>
      <c r="H43" s="20">
        <v>11</v>
      </c>
      <c r="I43" s="21">
        <v>7000000</v>
      </c>
      <c r="J43" s="22">
        <f t="shared" si="0"/>
        <v>77000000</v>
      </c>
      <c r="K43" s="23">
        <v>0.08</v>
      </c>
      <c r="L43" s="24"/>
    </row>
    <row r="44" spans="1:12" ht="26" customHeight="1" x14ac:dyDescent="0.2">
      <c r="A44" s="15">
        <v>46196</v>
      </c>
      <c r="B44" s="16" t="s">
        <v>477</v>
      </c>
      <c r="C44" s="17" t="s">
        <v>514</v>
      </c>
      <c r="D44" s="18" t="s">
        <v>440</v>
      </c>
      <c r="E44" s="16">
        <v>21</v>
      </c>
      <c r="F44" s="7" t="s">
        <v>163</v>
      </c>
      <c r="G44" s="19" t="s">
        <v>506</v>
      </c>
      <c r="H44" s="20">
        <v>1</v>
      </c>
      <c r="I44" s="21">
        <v>10200000</v>
      </c>
      <c r="J44" s="22">
        <f t="shared" si="0"/>
        <v>10200000</v>
      </c>
      <c r="K44" s="23">
        <v>0.08</v>
      </c>
      <c r="L44" s="24"/>
    </row>
    <row r="45" spans="1:12" ht="26" customHeight="1" x14ac:dyDescent="0.2">
      <c r="A45" s="15">
        <v>46196</v>
      </c>
      <c r="B45" s="16" t="s">
        <v>477</v>
      </c>
      <c r="C45" s="17" t="s">
        <v>515</v>
      </c>
      <c r="D45" s="18" t="s">
        <v>440</v>
      </c>
      <c r="E45" s="16">
        <v>22</v>
      </c>
      <c r="F45" s="7" t="s">
        <v>240</v>
      </c>
      <c r="G45" s="19" t="s">
        <v>516</v>
      </c>
      <c r="H45" s="20">
        <v>1</v>
      </c>
      <c r="I45" s="21">
        <v>7000000</v>
      </c>
      <c r="J45" s="22">
        <f t="shared" si="0"/>
        <v>7000000</v>
      </c>
      <c r="K45" s="23">
        <v>0.08</v>
      </c>
      <c r="L45" s="24"/>
    </row>
    <row r="46" spans="1:12" ht="26" customHeight="1" x14ac:dyDescent="0.2">
      <c r="A46" s="15">
        <v>46196</v>
      </c>
      <c r="B46" s="16" t="s">
        <v>477</v>
      </c>
      <c r="C46" s="17" t="s">
        <v>517</v>
      </c>
      <c r="D46" s="18" t="s">
        <v>440</v>
      </c>
      <c r="E46" s="16">
        <v>23</v>
      </c>
      <c r="F46" s="7" t="s">
        <v>132</v>
      </c>
      <c r="G46" s="19" t="s">
        <v>518</v>
      </c>
      <c r="H46" s="20">
        <v>1</v>
      </c>
      <c r="I46" s="21">
        <v>10800000</v>
      </c>
      <c r="J46" s="22">
        <f t="shared" si="0"/>
        <v>10800000</v>
      </c>
      <c r="K46" s="23">
        <v>0.08</v>
      </c>
      <c r="L46" s="24"/>
    </row>
    <row r="47" spans="1:12" ht="26" customHeight="1" x14ac:dyDescent="0.2">
      <c r="A47" s="15">
        <v>46196</v>
      </c>
      <c r="B47" s="16" t="s">
        <v>477</v>
      </c>
      <c r="C47" s="17" t="s">
        <v>519</v>
      </c>
      <c r="D47" s="18" t="s">
        <v>440</v>
      </c>
      <c r="E47" s="16">
        <v>24</v>
      </c>
      <c r="F47" s="7" t="s">
        <v>132</v>
      </c>
      <c r="G47" s="19" t="s">
        <v>520</v>
      </c>
      <c r="H47" s="20">
        <v>2</v>
      </c>
      <c r="I47" s="21">
        <v>10800000</v>
      </c>
      <c r="J47" s="22">
        <f t="shared" si="0"/>
        <v>21600000</v>
      </c>
      <c r="K47" s="23">
        <v>0.08</v>
      </c>
      <c r="L47" s="24"/>
    </row>
    <row r="48" spans="1:12" x14ac:dyDescent="0.2">
      <c r="A48" s="15">
        <v>46196</v>
      </c>
      <c r="B48" s="16" t="s">
        <v>477</v>
      </c>
      <c r="C48" s="17" t="s">
        <v>521</v>
      </c>
      <c r="D48" s="18" t="s">
        <v>440</v>
      </c>
      <c r="E48" s="16">
        <v>25</v>
      </c>
      <c r="F48" s="7" t="s">
        <v>279</v>
      </c>
      <c r="G48" s="19" t="s">
        <v>280</v>
      </c>
      <c r="H48" s="20">
        <v>1</v>
      </c>
      <c r="I48" s="21">
        <v>1800000</v>
      </c>
      <c r="J48" s="22">
        <f t="shared" si="0"/>
        <v>1800000</v>
      </c>
      <c r="K48" s="23">
        <v>0.08</v>
      </c>
      <c r="L48" s="24"/>
    </row>
    <row r="49" spans="1:12" x14ac:dyDescent="0.2">
      <c r="A49" s="15">
        <v>46196</v>
      </c>
      <c r="B49" s="16" t="s">
        <v>477</v>
      </c>
      <c r="C49" s="17" t="s">
        <v>522</v>
      </c>
      <c r="D49" s="18" t="s">
        <v>440</v>
      </c>
      <c r="E49" s="16">
        <v>26</v>
      </c>
      <c r="F49" s="7" t="s">
        <v>281</v>
      </c>
      <c r="G49" s="19" t="s">
        <v>523</v>
      </c>
      <c r="H49" s="20">
        <v>1</v>
      </c>
      <c r="I49" s="21">
        <v>2700000</v>
      </c>
      <c r="J49" s="22">
        <f t="shared" si="0"/>
        <v>2700000</v>
      </c>
      <c r="K49" s="23">
        <v>0.08</v>
      </c>
      <c r="L49" s="24"/>
    </row>
    <row r="50" spans="1:12" x14ac:dyDescent="0.2">
      <c r="A50" s="15">
        <v>46196</v>
      </c>
      <c r="B50" s="16" t="s">
        <v>477</v>
      </c>
      <c r="C50" s="17" t="s">
        <v>524</v>
      </c>
      <c r="D50" s="18" t="s">
        <v>440</v>
      </c>
      <c r="E50" s="16">
        <v>27</v>
      </c>
      <c r="F50" s="7" t="s">
        <v>283</v>
      </c>
      <c r="G50" s="19" t="s">
        <v>525</v>
      </c>
      <c r="H50" s="20">
        <v>1</v>
      </c>
      <c r="I50" s="21">
        <v>3300000</v>
      </c>
      <c r="J50" s="22">
        <f t="shared" si="0"/>
        <v>3300000</v>
      </c>
      <c r="K50" s="23">
        <v>0.08</v>
      </c>
      <c r="L50" s="24"/>
    </row>
    <row r="51" spans="1:12" x14ac:dyDescent="0.2">
      <c r="A51" s="15">
        <v>46196</v>
      </c>
      <c r="B51" s="16" t="s">
        <v>477</v>
      </c>
      <c r="C51" s="17" t="s">
        <v>526</v>
      </c>
      <c r="D51" s="18" t="s">
        <v>440</v>
      </c>
      <c r="E51" s="16">
        <v>28</v>
      </c>
      <c r="F51" s="7" t="s">
        <v>285</v>
      </c>
      <c r="G51" s="19" t="s">
        <v>527</v>
      </c>
      <c r="H51" s="20">
        <v>4</v>
      </c>
      <c r="I51" s="21">
        <v>12500000</v>
      </c>
      <c r="J51" s="22">
        <f t="shared" si="0"/>
        <v>50000000</v>
      </c>
      <c r="K51" s="23">
        <v>0.08</v>
      </c>
      <c r="L51" s="24"/>
    </row>
    <row r="52" spans="1:12" x14ac:dyDescent="0.2">
      <c r="A52" s="25"/>
      <c r="B52" s="11"/>
      <c r="C52" s="11"/>
      <c r="D52" s="11"/>
      <c r="E52" s="11"/>
      <c r="F52" s="11"/>
      <c r="G52" s="11"/>
      <c r="H52" s="11"/>
      <c r="I52" s="26"/>
      <c r="J52" s="22" t="str">
        <f t="shared" ref="J52:J115" si="1">IF(OR(H52="",I52=""),"",H52*I52)</f>
        <v/>
      </c>
      <c r="K52" s="27"/>
      <c r="L52" s="11"/>
    </row>
    <row r="53" spans="1:12" x14ac:dyDescent="0.2">
      <c r="A53" s="25"/>
      <c r="B53" s="11"/>
      <c r="C53" s="11"/>
      <c r="D53" s="11"/>
      <c r="E53" s="11"/>
      <c r="F53" s="11"/>
      <c r="G53" s="11"/>
      <c r="H53" s="11"/>
      <c r="I53" s="26"/>
      <c r="J53" s="22" t="str">
        <f t="shared" si="1"/>
        <v/>
      </c>
      <c r="K53" s="27"/>
      <c r="L53" s="11"/>
    </row>
    <row r="54" spans="1:12" x14ac:dyDescent="0.2">
      <c r="A54" s="25"/>
      <c r="B54" s="11"/>
      <c r="C54" s="11"/>
      <c r="D54" s="11"/>
      <c r="E54" s="11"/>
      <c r="F54" s="11"/>
      <c r="G54" s="11"/>
      <c r="H54" s="11"/>
      <c r="I54" s="26"/>
      <c r="J54" s="22" t="str">
        <f t="shared" si="1"/>
        <v/>
      </c>
      <c r="K54" s="27"/>
      <c r="L54" s="11"/>
    </row>
    <row r="55" spans="1:12" x14ac:dyDescent="0.2">
      <c r="A55" s="25"/>
      <c r="B55" s="11"/>
      <c r="C55" s="11"/>
      <c r="D55" s="11"/>
      <c r="E55" s="11"/>
      <c r="F55" s="11"/>
      <c r="G55" s="11"/>
      <c r="H55" s="11"/>
      <c r="I55" s="26"/>
      <c r="J55" s="22" t="str">
        <f t="shared" si="1"/>
        <v/>
      </c>
      <c r="K55" s="27"/>
      <c r="L55" s="11"/>
    </row>
    <row r="56" spans="1:12" x14ac:dyDescent="0.2">
      <c r="A56" s="25"/>
      <c r="B56" s="11"/>
      <c r="C56" s="11"/>
      <c r="D56" s="11"/>
      <c r="E56" s="11"/>
      <c r="F56" s="11"/>
      <c r="G56" s="11"/>
      <c r="H56" s="11"/>
      <c r="I56" s="26"/>
      <c r="J56" s="22" t="str">
        <f t="shared" si="1"/>
        <v/>
      </c>
      <c r="K56" s="27"/>
      <c r="L56" s="11"/>
    </row>
    <row r="57" spans="1:12" x14ac:dyDescent="0.2">
      <c r="A57" s="25"/>
      <c r="B57" s="11"/>
      <c r="C57" s="11"/>
      <c r="D57" s="11"/>
      <c r="E57" s="11"/>
      <c r="F57" s="11"/>
      <c r="G57" s="11"/>
      <c r="H57" s="11"/>
      <c r="I57" s="26"/>
      <c r="J57" s="22" t="str">
        <f t="shared" si="1"/>
        <v/>
      </c>
      <c r="K57" s="27"/>
      <c r="L57" s="11"/>
    </row>
    <row r="58" spans="1:12" x14ac:dyDescent="0.2">
      <c r="A58" s="25"/>
      <c r="B58" s="11"/>
      <c r="C58" s="11"/>
      <c r="D58" s="11"/>
      <c r="E58" s="11"/>
      <c r="F58" s="11"/>
      <c r="G58" s="11"/>
      <c r="H58" s="11"/>
      <c r="I58" s="26"/>
      <c r="J58" s="22" t="str">
        <f t="shared" si="1"/>
        <v/>
      </c>
      <c r="K58" s="27"/>
      <c r="L58" s="11"/>
    </row>
    <row r="59" spans="1:12" x14ac:dyDescent="0.2">
      <c r="A59" s="25"/>
      <c r="B59" s="11"/>
      <c r="C59" s="11"/>
      <c r="D59" s="11"/>
      <c r="E59" s="11"/>
      <c r="F59" s="11"/>
      <c r="G59" s="11"/>
      <c r="H59" s="11"/>
      <c r="I59" s="26"/>
      <c r="J59" s="22" t="str">
        <f t="shared" si="1"/>
        <v/>
      </c>
      <c r="K59" s="27"/>
      <c r="L59" s="11"/>
    </row>
    <row r="60" spans="1:12" x14ac:dyDescent="0.2">
      <c r="A60" s="25"/>
      <c r="B60" s="11"/>
      <c r="C60" s="11"/>
      <c r="D60" s="11"/>
      <c r="E60" s="11"/>
      <c r="F60" s="11"/>
      <c r="G60" s="11"/>
      <c r="H60" s="11"/>
      <c r="I60" s="26"/>
      <c r="J60" s="22" t="str">
        <f t="shared" si="1"/>
        <v/>
      </c>
      <c r="K60" s="27"/>
      <c r="L60" s="11"/>
    </row>
    <row r="61" spans="1:12" x14ac:dyDescent="0.2">
      <c r="A61" s="25"/>
      <c r="B61" s="11"/>
      <c r="C61" s="11"/>
      <c r="D61" s="11"/>
      <c r="E61" s="11"/>
      <c r="F61" s="11"/>
      <c r="G61" s="11"/>
      <c r="H61" s="11"/>
      <c r="I61" s="26"/>
      <c r="J61" s="22" t="str">
        <f t="shared" si="1"/>
        <v/>
      </c>
      <c r="K61" s="27"/>
      <c r="L61" s="11"/>
    </row>
    <row r="62" spans="1:12" x14ac:dyDescent="0.2">
      <c r="A62" s="25"/>
      <c r="B62" s="11"/>
      <c r="C62" s="11"/>
      <c r="D62" s="11"/>
      <c r="E62" s="11"/>
      <c r="F62" s="11"/>
      <c r="G62" s="11"/>
      <c r="H62" s="11"/>
      <c r="I62" s="26"/>
      <c r="J62" s="22" t="str">
        <f t="shared" si="1"/>
        <v/>
      </c>
      <c r="K62" s="27"/>
      <c r="L62" s="11"/>
    </row>
    <row r="63" spans="1:12" x14ac:dyDescent="0.2">
      <c r="A63" s="25"/>
      <c r="B63" s="11"/>
      <c r="C63" s="11"/>
      <c r="D63" s="11"/>
      <c r="E63" s="11"/>
      <c r="F63" s="11"/>
      <c r="G63" s="11"/>
      <c r="H63" s="11"/>
      <c r="I63" s="26"/>
      <c r="J63" s="22" t="str">
        <f t="shared" si="1"/>
        <v/>
      </c>
      <c r="K63" s="27"/>
      <c r="L63" s="11"/>
    </row>
    <row r="64" spans="1:12" x14ac:dyDescent="0.2">
      <c r="A64" s="25"/>
      <c r="B64" s="11"/>
      <c r="C64" s="11"/>
      <c r="D64" s="11"/>
      <c r="E64" s="11"/>
      <c r="F64" s="11"/>
      <c r="G64" s="11"/>
      <c r="H64" s="11"/>
      <c r="I64" s="26"/>
      <c r="J64" s="22" t="str">
        <f t="shared" si="1"/>
        <v/>
      </c>
      <c r="K64" s="27"/>
      <c r="L64" s="11"/>
    </row>
    <row r="65" spans="1:12" x14ac:dyDescent="0.2">
      <c r="A65" s="25"/>
      <c r="B65" s="11"/>
      <c r="C65" s="11"/>
      <c r="D65" s="11"/>
      <c r="E65" s="11"/>
      <c r="F65" s="11"/>
      <c r="G65" s="11"/>
      <c r="H65" s="11"/>
      <c r="I65" s="26"/>
      <c r="J65" s="22" t="str">
        <f t="shared" si="1"/>
        <v/>
      </c>
      <c r="K65" s="27"/>
      <c r="L65" s="11"/>
    </row>
    <row r="66" spans="1:12" x14ac:dyDescent="0.2">
      <c r="A66" s="25"/>
      <c r="B66" s="11"/>
      <c r="C66" s="11"/>
      <c r="D66" s="11"/>
      <c r="E66" s="11"/>
      <c r="F66" s="11"/>
      <c r="G66" s="11"/>
      <c r="H66" s="11"/>
      <c r="I66" s="26"/>
      <c r="J66" s="22" t="str">
        <f t="shared" si="1"/>
        <v/>
      </c>
      <c r="K66" s="27"/>
      <c r="L66" s="11"/>
    </row>
    <row r="67" spans="1:12" x14ac:dyDescent="0.2">
      <c r="A67" s="25"/>
      <c r="B67" s="11"/>
      <c r="C67" s="11"/>
      <c r="D67" s="11"/>
      <c r="E67" s="11"/>
      <c r="F67" s="11"/>
      <c r="G67" s="11"/>
      <c r="H67" s="11"/>
      <c r="I67" s="26"/>
      <c r="J67" s="22" t="str">
        <f t="shared" si="1"/>
        <v/>
      </c>
      <c r="K67" s="27"/>
      <c r="L67" s="11"/>
    </row>
    <row r="68" spans="1:12" x14ac:dyDescent="0.2">
      <c r="A68" s="25"/>
      <c r="B68" s="11"/>
      <c r="C68" s="11"/>
      <c r="D68" s="11"/>
      <c r="E68" s="11"/>
      <c r="F68" s="11"/>
      <c r="G68" s="11"/>
      <c r="H68" s="11"/>
      <c r="I68" s="26"/>
      <c r="J68" s="22" t="str">
        <f t="shared" si="1"/>
        <v/>
      </c>
      <c r="K68" s="27"/>
      <c r="L68" s="11"/>
    </row>
    <row r="69" spans="1:12" x14ac:dyDescent="0.2">
      <c r="A69" s="25"/>
      <c r="B69" s="11"/>
      <c r="C69" s="11"/>
      <c r="D69" s="11"/>
      <c r="E69" s="11"/>
      <c r="F69" s="11"/>
      <c r="G69" s="11"/>
      <c r="H69" s="11"/>
      <c r="I69" s="26"/>
      <c r="J69" s="22" t="str">
        <f t="shared" si="1"/>
        <v/>
      </c>
      <c r="K69" s="27"/>
      <c r="L69" s="11"/>
    </row>
    <row r="70" spans="1:12" x14ac:dyDescent="0.2">
      <c r="A70" s="25"/>
      <c r="B70" s="11"/>
      <c r="C70" s="11"/>
      <c r="D70" s="11"/>
      <c r="E70" s="11"/>
      <c r="F70" s="11"/>
      <c r="G70" s="11"/>
      <c r="H70" s="11"/>
      <c r="I70" s="26"/>
      <c r="J70" s="22" t="str">
        <f t="shared" si="1"/>
        <v/>
      </c>
      <c r="K70" s="27"/>
      <c r="L70" s="11"/>
    </row>
    <row r="71" spans="1:12" x14ac:dyDescent="0.2">
      <c r="A71" s="25"/>
      <c r="B71" s="11"/>
      <c r="C71" s="11"/>
      <c r="D71" s="11"/>
      <c r="E71" s="11"/>
      <c r="F71" s="11"/>
      <c r="G71" s="11"/>
      <c r="H71" s="11"/>
      <c r="I71" s="26"/>
      <c r="J71" s="22" t="str">
        <f t="shared" si="1"/>
        <v/>
      </c>
      <c r="K71" s="27"/>
      <c r="L71" s="11"/>
    </row>
    <row r="72" spans="1:12" x14ac:dyDescent="0.2">
      <c r="A72" s="25"/>
      <c r="B72" s="11"/>
      <c r="C72" s="11"/>
      <c r="D72" s="11"/>
      <c r="E72" s="11"/>
      <c r="F72" s="11"/>
      <c r="G72" s="11"/>
      <c r="H72" s="11"/>
      <c r="I72" s="26"/>
      <c r="J72" s="22" t="str">
        <f t="shared" si="1"/>
        <v/>
      </c>
      <c r="K72" s="27"/>
      <c r="L72" s="11"/>
    </row>
    <row r="73" spans="1:12" x14ac:dyDescent="0.2">
      <c r="A73" s="25"/>
      <c r="B73" s="11"/>
      <c r="C73" s="11"/>
      <c r="D73" s="11"/>
      <c r="E73" s="11"/>
      <c r="F73" s="11"/>
      <c r="G73" s="11"/>
      <c r="H73" s="11"/>
      <c r="I73" s="26"/>
      <c r="J73" s="22" t="str">
        <f t="shared" si="1"/>
        <v/>
      </c>
      <c r="K73" s="27"/>
      <c r="L73" s="11"/>
    </row>
    <row r="74" spans="1:12" x14ac:dyDescent="0.2">
      <c r="A74" s="25"/>
      <c r="B74" s="11"/>
      <c r="C74" s="11"/>
      <c r="D74" s="11"/>
      <c r="E74" s="11"/>
      <c r="F74" s="11"/>
      <c r="G74" s="11"/>
      <c r="H74" s="11"/>
      <c r="I74" s="26"/>
      <c r="J74" s="22" t="str">
        <f t="shared" si="1"/>
        <v/>
      </c>
      <c r="K74" s="27"/>
      <c r="L74" s="11"/>
    </row>
    <row r="75" spans="1:12" x14ac:dyDescent="0.2">
      <c r="A75" s="25"/>
      <c r="B75" s="11"/>
      <c r="C75" s="11"/>
      <c r="D75" s="11"/>
      <c r="E75" s="11"/>
      <c r="F75" s="11"/>
      <c r="G75" s="11"/>
      <c r="H75" s="11"/>
      <c r="I75" s="26"/>
      <c r="J75" s="22" t="str">
        <f t="shared" si="1"/>
        <v/>
      </c>
      <c r="K75" s="27"/>
      <c r="L75" s="11"/>
    </row>
    <row r="76" spans="1:12" x14ac:dyDescent="0.2">
      <c r="A76" s="25"/>
      <c r="B76" s="11"/>
      <c r="C76" s="11"/>
      <c r="D76" s="11"/>
      <c r="E76" s="11"/>
      <c r="F76" s="11"/>
      <c r="G76" s="11"/>
      <c r="H76" s="11"/>
      <c r="I76" s="26"/>
      <c r="J76" s="22" t="str">
        <f t="shared" si="1"/>
        <v/>
      </c>
      <c r="K76" s="27"/>
      <c r="L76" s="11"/>
    </row>
    <row r="77" spans="1:12" x14ac:dyDescent="0.2">
      <c r="A77" s="25"/>
      <c r="B77" s="11"/>
      <c r="C77" s="11"/>
      <c r="D77" s="11"/>
      <c r="E77" s="11"/>
      <c r="F77" s="11"/>
      <c r="G77" s="11"/>
      <c r="H77" s="11"/>
      <c r="I77" s="26"/>
      <c r="J77" s="22" t="str">
        <f t="shared" si="1"/>
        <v/>
      </c>
      <c r="K77" s="27"/>
      <c r="L77" s="11"/>
    </row>
    <row r="78" spans="1:12" x14ac:dyDescent="0.2">
      <c r="A78" s="25"/>
      <c r="B78" s="11"/>
      <c r="C78" s="11"/>
      <c r="D78" s="11"/>
      <c r="E78" s="11"/>
      <c r="F78" s="11"/>
      <c r="G78" s="11"/>
      <c r="H78" s="11"/>
      <c r="I78" s="26"/>
      <c r="J78" s="22" t="str">
        <f t="shared" si="1"/>
        <v/>
      </c>
      <c r="K78" s="27"/>
      <c r="L78" s="11"/>
    </row>
    <row r="79" spans="1:12" x14ac:dyDescent="0.2">
      <c r="A79" s="25"/>
      <c r="B79" s="11"/>
      <c r="C79" s="11"/>
      <c r="D79" s="11"/>
      <c r="E79" s="11"/>
      <c r="F79" s="11"/>
      <c r="G79" s="11"/>
      <c r="H79" s="11"/>
      <c r="I79" s="26"/>
      <c r="J79" s="22" t="str">
        <f t="shared" si="1"/>
        <v/>
      </c>
      <c r="K79" s="27"/>
      <c r="L79" s="11"/>
    </row>
    <row r="80" spans="1:12" x14ac:dyDescent="0.2">
      <c r="A80" s="25"/>
      <c r="B80" s="11"/>
      <c r="C80" s="11"/>
      <c r="D80" s="11"/>
      <c r="E80" s="11"/>
      <c r="F80" s="11"/>
      <c r="G80" s="11"/>
      <c r="H80" s="11"/>
      <c r="I80" s="26"/>
      <c r="J80" s="22" t="str">
        <f t="shared" si="1"/>
        <v/>
      </c>
      <c r="K80" s="27"/>
      <c r="L80" s="11"/>
    </row>
    <row r="81" spans="1:12" x14ac:dyDescent="0.2">
      <c r="A81" s="25"/>
      <c r="B81" s="11"/>
      <c r="C81" s="11"/>
      <c r="D81" s="11"/>
      <c r="E81" s="11"/>
      <c r="F81" s="11"/>
      <c r="G81" s="11"/>
      <c r="H81" s="11"/>
      <c r="I81" s="26"/>
      <c r="J81" s="22" t="str">
        <f t="shared" si="1"/>
        <v/>
      </c>
      <c r="K81" s="27"/>
      <c r="L81" s="11"/>
    </row>
    <row r="82" spans="1:12" x14ac:dyDescent="0.2">
      <c r="A82" s="25"/>
      <c r="B82" s="11"/>
      <c r="C82" s="11"/>
      <c r="D82" s="11"/>
      <c r="E82" s="11"/>
      <c r="F82" s="11"/>
      <c r="G82" s="11"/>
      <c r="H82" s="11"/>
      <c r="I82" s="26"/>
      <c r="J82" s="22" t="str">
        <f t="shared" si="1"/>
        <v/>
      </c>
      <c r="K82" s="27"/>
      <c r="L82" s="11"/>
    </row>
    <row r="83" spans="1:12" x14ac:dyDescent="0.2">
      <c r="A83" s="25"/>
      <c r="B83" s="11"/>
      <c r="C83" s="11"/>
      <c r="D83" s="11"/>
      <c r="E83" s="11"/>
      <c r="F83" s="11"/>
      <c r="G83" s="11"/>
      <c r="H83" s="11"/>
      <c r="I83" s="26"/>
      <c r="J83" s="22" t="str">
        <f t="shared" si="1"/>
        <v/>
      </c>
      <c r="K83" s="27"/>
      <c r="L83" s="11"/>
    </row>
    <row r="84" spans="1:12" x14ac:dyDescent="0.2">
      <c r="A84" s="25"/>
      <c r="B84" s="11"/>
      <c r="C84" s="11"/>
      <c r="D84" s="11"/>
      <c r="E84" s="11"/>
      <c r="F84" s="11"/>
      <c r="G84" s="11"/>
      <c r="H84" s="11"/>
      <c r="I84" s="26"/>
      <c r="J84" s="22" t="str">
        <f t="shared" si="1"/>
        <v/>
      </c>
      <c r="K84" s="27"/>
      <c r="L84" s="11"/>
    </row>
    <row r="85" spans="1:12" x14ac:dyDescent="0.2">
      <c r="A85" s="25"/>
      <c r="B85" s="11"/>
      <c r="C85" s="11"/>
      <c r="D85" s="11"/>
      <c r="E85" s="11"/>
      <c r="F85" s="11"/>
      <c r="G85" s="11"/>
      <c r="H85" s="11"/>
      <c r="I85" s="26"/>
      <c r="J85" s="22" t="str">
        <f t="shared" si="1"/>
        <v/>
      </c>
      <c r="K85" s="27"/>
      <c r="L85" s="11"/>
    </row>
    <row r="86" spans="1:12" x14ac:dyDescent="0.2">
      <c r="A86" s="25"/>
      <c r="B86" s="11"/>
      <c r="C86" s="11"/>
      <c r="D86" s="11"/>
      <c r="E86" s="11"/>
      <c r="F86" s="11"/>
      <c r="G86" s="11"/>
      <c r="H86" s="11"/>
      <c r="I86" s="26"/>
      <c r="J86" s="22" t="str">
        <f t="shared" si="1"/>
        <v/>
      </c>
      <c r="K86" s="27"/>
      <c r="L86" s="11"/>
    </row>
    <row r="87" spans="1:12" x14ac:dyDescent="0.2">
      <c r="A87" s="25"/>
      <c r="B87" s="11"/>
      <c r="C87" s="11"/>
      <c r="D87" s="11"/>
      <c r="E87" s="11"/>
      <c r="F87" s="11"/>
      <c r="G87" s="11"/>
      <c r="H87" s="11"/>
      <c r="I87" s="26"/>
      <c r="J87" s="22" t="str">
        <f t="shared" si="1"/>
        <v/>
      </c>
      <c r="K87" s="27"/>
      <c r="L87" s="11"/>
    </row>
    <row r="88" spans="1:12" x14ac:dyDescent="0.2">
      <c r="A88" s="25"/>
      <c r="B88" s="11"/>
      <c r="C88" s="11"/>
      <c r="D88" s="11"/>
      <c r="E88" s="11"/>
      <c r="F88" s="11"/>
      <c r="G88" s="11"/>
      <c r="H88" s="11"/>
      <c r="I88" s="26"/>
      <c r="J88" s="22" t="str">
        <f t="shared" si="1"/>
        <v/>
      </c>
      <c r="K88" s="27"/>
      <c r="L88" s="11"/>
    </row>
    <row r="89" spans="1:12" x14ac:dyDescent="0.2">
      <c r="A89" s="25"/>
      <c r="B89" s="11"/>
      <c r="C89" s="11"/>
      <c r="D89" s="11"/>
      <c r="E89" s="11"/>
      <c r="F89" s="11"/>
      <c r="G89" s="11"/>
      <c r="H89" s="11"/>
      <c r="I89" s="26"/>
      <c r="J89" s="22" t="str">
        <f t="shared" si="1"/>
        <v/>
      </c>
      <c r="K89" s="27"/>
      <c r="L89" s="11"/>
    </row>
    <row r="90" spans="1:12" x14ac:dyDescent="0.2">
      <c r="A90" s="25"/>
      <c r="B90" s="11"/>
      <c r="C90" s="11"/>
      <c r="D90" s="11"/>
      <c r="E90" s="11"/>
      <c r="F90" s="11"/>
      <c r="G90" s="11"/>
      <c r="H90" s="11"/>
      <c r="I90" s="26"/>
      <c r="J90" s="22" t="str">
        <f t="shared" si="1"/>
        <v/>
      </c>
      <c r="K90" s="27"/>
      <c r="L90" s="11"/>
    </row>
    <row r="91" spans="1:12" x14ac:dyDescent="0.2">
      <c r="A91" s="25"/>
      <c r="B91" s="11"/>
      <c r="C91" s="11"/>
      <c r="D91" s="11"/>
      <c r="E91" s="11"/>
      <c r="F91" s="11"/>
      <c r="G91" s="11"/>
      <c r="H91" s="11"/>
      <c r="I91" s="26"/>
      <c r="J91" s="22" t="str">
        <f t="shared" si="1"/>
        <v/>
      </c>
      <c r="K91" s="27"/>
      <c r="L91" s="11"/>
    </row>
    <row r="92" spans="1:12" x14ac:dyDescent="0.2">
      <c r="A92" s="25"/>
      <c r="B92" s="11"/>
      <c r="C92" s="11"/>
      <c r="D92" s="11"/>
      <c r="E92" s="11"/>
      <c r="F92" s="11"/>
      <c r="G92" s="11"/>
      <c r="H92" s="11"/>
      <c r="I92" s="26"/>
      <c r="J92" s="22" t="str">
        <f t="shared" si="1"/>
        <v/>
      </c>
      <c r="K92" s="27"/>
      <c r="L92" s="11"/>
    </row>
    <row r="93" spans="1:12" x14ac:dyDescent="0.2">
      <c r="A93" s="25"/>
      <c r="B93" s="11"/>
      <c r="C93" s="11"/>
      <c r="D93" s="11"/>
      <c r="E93" s="11"/>
      <c r="F93" s="11"/>
      <c r="G93" s="11"/>
      <c r="H93" s="11"/>
      <c r="I93" s="26"/>
      <c r="J93" s="22" t="str">
        <f t="shared" si="1"/>
        <v/>
      </c>
      <c r="K93" s="27"/>
      <c r="L93" s="11"/>
    </row>
    <row r="94" spans="1:12" x14ac:dyDescent="0.2">
      <c r="A94" s="25"/>
      <c r="B94" s="11"/>
      <c r="C94" s="11"/>
      <c r="D94" s="11"/>
      <c r="E94" s="11"/>
      <c r="F94" s="11"/>
      <c r="G94" s="11"/>
      <c r="H94" s="11"/>
      <c r="I94" s="26"/>
      <c r="J94" s="22" t="str">
        <f t="shared" si="1"/>
        <v/>
      </c>
      <c r="K94" s="27"/>
      <c r="L94" s="11"/>
    </row>
    <row r="95" spans="1:12" x14ac:dyDescent="0.2">
      <c r="A95" s="25"/>
      <c r="B95" s="11"/>
      <c r="C95" s="11"/>
      <c r="D95" s="11"/>
      <c r="E95" s="11"/>
      <c r="F95" s="11"/>
      <c r="G95" s="11"/>
      <c r="H95" s="11"/>
      <c r="I95" s="26"/>
      <c r="J95" s="22" t="str">
        <f t="shared" si="1"/>
        <v/>
      </c>
      <c r="K95" s="27"/>
      <c r="L95" s="11"/>
    </row>
    <row r="96" spans="1:12" x14ac:dyDescent="0.2">
      <c r="A96" s="25"/>
      <c r="B96" s="11"/>
      <c r="C96" s="11"/>
      <c r="D96" s="11"/>
      <c r="E96" s="11"/>
      <c r="F96" s="11"/>
      <c r="G96" s="11"/>
      <c r="H96" s="11"/>
      <c r="I96" s="26"/>
      <c r="J96" s="22" t="str">
        <f t="shared" si="1"/>
        <v/>
      </c>
      <c r="K96" s="27"/>
      <c r="L96" s="11"/>
    </row>
    <row r="97" spans="1:12" x14ac:dyDescent="0.2">
      <c r="A97" s="25"/>
      <c r="B97" s="11"/>
      <c r="C97" s="11"/>
      <c r="D97" s="11"/>
      <c r="E97" s="11"/>
      <c r="F97" s="11"/>
      <c r="G97" s="11"/>
      <c r="H97" s="11"/>
      <c r="I97" s="26"/>
      <c r="J97" s="22" t="str">
        <f t="shared" si="1"/>
        <v/>
      </c>
      <c r="K97" s="27"/>
      <c r="L97" s="11"/>
    </row>
    <row r="98" spans="1:12" x14ac:dyDescent="0.2">
      <c r="A98" s="25"/>
      <c r="B98" s="11"/>
      <c r="C98" s="11"/>
      <c r="D98" s="11"/>
      <c r="E98" s="11"/>
      <c r="F98" s="11"/>
      <c r="G98" s="11"/>
      <c r="H98" s="11"/>
      <c r="I98" s="26"/>
      <c r="J98" s="22" t="str">
        <f t="shared" si="1"/>
        <v/>
      </c>
      <c r="K98" s="27"/>
      <c r="L98" s="11"/>
    </row>
    <row r="99" spans="1:12" x14ac:dyDescent="0.2">
      <c r="A99" s="25"/>
      <c r="B99" s="11"/>
      <c r="C99" s="11"/>
      <c r="D99" s="11"/>
      <c r="E99" s="11"/>
      <c r="F99" s="11"/>
      <c r="G99" s="11"/>
      <c r="H99" s="11"/>
      <c r="I99" s="26"/>
      <c r="J99" s="22" t="str">
        <f t="shared" si="1"/>
        <v/>
      </c>
      <c r="K99" s="27"/>
      <c r="L99" s="11"/>
    </row>
    <row r="100" spans="1:12" x14ac:dyDescent="0.2">
      <c r="A100" s="25"/>
      <c r="B100" s="11"/>
      <c r="C100" s="11"/>
      <c r="D100" s="11"/>
      <c r="E100" s="11"/>
      <c r="F100" s="11"/>
      <c r="G100" s="11"/>
      <c r="H100" s="11"/>
      <c r="I100" s="26"/>
      <c r="J100" s="22" t="str">
        <f t="shared" si="1"/>
        <v/>
      </c>
      <c r="K100" s="27"/>
      <c r="L100" s="11"/>
    </row>
    <row r="101" spans="1:12" x14ac:dyDescent="0.2">
      <c r="A101" s="25"/>
      <c r="B101" s="11"/>
      <c r="C101" s="11"/>
      <c r="D101" s="11"/>
      <c r="E101" s="11"/>
      <c r="F101" s="11"/>
      <c r="G101" s="11"/>
      <c r="H101" s="11"/>
      <c r="I101" s="26"/>
      <c r="J101" s="22" t="str">
        <f t="shared" si="1"/>
        <v/>
      </c>
      <c r="K101" s="27"/>
      <c r="L101" s="11"/>
    </row>
    <row r="102" spans="1:12" x14ac:dyDescent="0.2">
      <c r="A102" s="25"/>
      <c r="B102" s="11"/>
      <c r="C102" s="11"/>
      <c r="D102" s="11"/>
      <c r="E102" s="11"/>
      <c r="F102" s="11"/>
      <c r="G102" s="11"/>
      <c r="H102" s="11"/>
      <c r="I102" s="26"/>
      <c r="J102" s="22" t="str">
        <f t="shared" si="1"/>
        <v/>
      </c>
      <c r="K102" s="27"/>
      <c r="L102" s="11"/>
    </row>
    <row r="103" spans="1:12" x14ac:dyDescent="0.2">
      <c r="A103" s="25"/>
      <c r="B103" s="11"/>
      <c r="C103" s="11"/>
      <c r="D103" s="11"/>
      <c r="E103" s="11"/>
      <c r="F103" s="11"/>
      <c r="G103" s="11"/>
      <c r="H103" s="11"/>
      <c r="I103" s="26"/>
      <c r="J103" s="22" t="str">
        <f t="shared" si="1"/>
        <v/>
      </c>
      <c r="K103" s="27"/>
      <c r="L103" s="11"/>
    </row>
    <row r="104" spans="1:12" x14ac:dyDescent="0.2">
      <c r="A104" s="25"/>
      <c r="B104" s="11"/>
      <c r="C104" s="11"/>
      <c r="D104" s="11"/>
      <c r="E104" s="11"/>
      <c r="F104" s="11"/>
      <c r="G104" s="11"/>
      <c r="H104" s="11"/>
      <c r="I104" s="26"/>
      <c r="J104" s="22" t="str">
        <f t="shared" si="1"/>
        <v/>
      </c>
      <c r="K104" s="27"/>
      <c r="L104" s="11"/>
    </row>
    <row r="105" spans="1:12" x14ac:dyDescent="0.2">
      <c r="A105" s="25"/>
      <c r="B105" s="11"/>
      <c r="C105" s="11"/>
      <c r="D105" s="11"/>
      <c r="E105" s="11"/>
      <c r="F105" s="11"/>
      <c r="G105" s="11"/>
      <c r="H105" s="11"/>
      <c r="I105" s="26"/>
      <c r="J105" s="22" t="str">
        <f t="shared" si="1"/>
        <v/>
      </c>
      <c r="K105" s="27"/>
      <c r="L105" s="11"/>
    </row>
    <row r="106" spans="1:12" x14ac:dyDescent="0.2">
      <c r="A106" s="25"/>
      <c r="B106" s="11"/>
      <c r="C106" s="11"/>
      <c r="D106" s="11"/>
      <c r="E106" s="11"/>
      <c r="F106" s="11"/>
      <c r="G106" s="11"/>
      <c r="H106" s="11"/>
      <c r="I106" s="26"/>
      <c r="J106" s="22" t="str">
        <f t="shared" si="1"/>
        <v/>
      </c>
      <c r="K106" s="27"/>
      <c r="L106" s="11"/>
    </row>
    <row r="107" spans="1:12" x14ac:dyDescent="0.2">
      <c r="A107" s="25"/>
      <c r="B107" s="11"/>
      <c r="C107" s="11"/>
      <c r="D107" s="11"/>
      <c r="E107" s="11"/>
      <c r="F107" s="11"/>
      <c r="G107" s="11"/>
      <c r="H107" s="11"/>
      <c r="I107" s="26"/>
      <c r="J107" s="22" t="str">
        <f t="shared" si="1"/>
        <v/>
      </c>
      <c r="K107" s="27"/>
      <c r="L107" s="11"/>
    </row>
    <row r="108" spans="1:12" x14ac:dyDescent="0.2">
      <c r="A108" s="25"/>
      <c r="B108" s="11"/>
      <c r="C108" s="11"/>
      <c r="D108" s="11"/>
      <c r="E108" s="11"/>
      <c r="F108" s="11"/>
      <c r="G108" s="11"/>
      <c r="H108" s="11"/>
      <c r="I108" s="26"/>
      <c r="J108" s="22" t="str">
        <f t="shared" si="1"/>
        <v/>
      </c>
      <c r="K108" s="27"/>
      <c r="L108" s="11"/>
    </row>
    <row r="109" spans="1:12" x14ac:dyDescent="0.2">
      <c r="A109" s="25"/>
      <c r="B109" s="11"/>
      <c r="C109" s="11"/>
      <c r="D109" s="11"/>
      <c r="E109" s="11"/>
      <c r="F109" s="11"/>
      <c r="G109" s="11"/>
      <c r="H109" s="11"/>
      <c r="I109" s="26"/>
      <c r="J109" s="22" t="str">
        <f t="shared" si="1"/>
        <v/>
      </c>
      <c r="K109" s="27"/>
      <c r="L109" s="11"/>
    </row>
    <row r="110" spans="1:12" x14ac:dyDescent="0.2">
      <c r="A110" s="25"/>
      <c r="B110" s="11"/>
      <c r="C110" s="11"/>
      <c r="D110" s="11"/>
      <c r="E110" s="11"/>
      <c r="F110" s="11"/>
      <c r="G110" s="11"/>
      <c r="H110" s="11"/>
      <c r="I110" s="26"/>
      <c r="J110" s="22" t="str">
        <f t="shared" si="1"/>
        <v/>
      </c>
      <c r="K110" s="27"/>
      <c r="L110" s="11"/>
    </row>
    <row r="111" spans="1:12" x14ac:dyDescent="0.2">
      <c r="A111" s="25"/>
      <c r="B111" s="11"/>
      <c r="C111" s="11"/>
      <c r="D111" s="11"/>
      <c r="E111" s="11"/>
      <c r="F111" s="11"/>
      <c r="G111" s="11"/>
      <c r="H111" s="11"/>
      <c r="I111" s="26"/>
      <c r="J111" s="22" t="str">
        <f t="shared" si="1"/>
        <v/>
      </c>
      <c r="K111" s="27"/>
      <c r="L111" s="11"/>
    </row>
    <row r="112" spans="1:12" x14ac:dyDescent="0.2">
      <c r="A112" s="25"/>
      <c r="B112" s="11"/>
      <c r="C112" s="11"/>
      <c r="D112" s="11"/>
      <c r="E112" s="11"/>
      <c r="F112" s="11"/>
      <c r="G112" s="11"/>
      <c r="H112" s="11"/>
      <c r="I112" s="26"/>
      <c r="J112" s="22" t="str">
        <f t="shared" si="1"/>
        <v/>
      </c>
      <c r="K112" s="27"/>
      <c r="L112" s="11"/>
    </row>
    <row r="113" spans="1:12" x14ac:dyDescent="0.2">
      <c r="A113" s="25"/>
      <c r="B113" s="11"/>
      <c r="C113" s="11"/>
      <c r="D113" s="11"/>
      <c r="E113" s="11"/>
      <c r="F113" s="11"/>
      <c r="G113" s="11"/>
      <c r="H113" s="11"/>
      <c r="I113" s="26"/>
      <c r="J113" s="22" t="str">
        <f t="shared" si="1"/>
        <v/>
      </c>
      <c r="K113" s="27"/>
      <c r="L113" s="11"/>
    </row>
    <row r="114" spans="1:12" x14ac:dyDescent="0.2">
      <c r="A114" s="25"/>
      <c r="B114" s="11"/>
      <c r="C114" s="11"/>
      <c r="D114" s="11"/>
      <c r="E114" s="11"/>
      <c r="F114" s="11"/>
      <c r="G114" s="11"/>
      <c r="H114" s="11"/>
      <c r="I114" s="26"/>
      <c r="J114" s="22" t="str">
        <f t="shared" si="1"/>
        <v/>
      </c>
      <c r="K114" s="27"/>
      <c r="L114" s="11"/>
    </row>
    <row r="115" spans="1:12" x14ac:dyDescent="0.2">
      <c r="A115" s="25"/>
      <c r="B115" s="11"/>
      <c r="C115" s="11"/>
      <c r="D115" s="11"/>
      <c r="E115" s="11"/>
      <c r="F115" s="11"/>
      <c r="G115" s="11"/>
      <c r="H115" s="11"/>
      <c r="I115" s="26"/>
      <c r="J115" s="22" t="str">
        <f t="shared" si="1"/>
        <v/>
      </c>
      <c r="K115" s="27"/>
      <c r="L115" s="11"/>
    </row>
    <row r="116" spans="1:12" x14ac:dyDescent="0.2">
      <c r="A116" s="25"/>
      <c r="B116" s="11"/>
      <c r="C116" s="11"/>
      <c r="D116" s="11"/>
      <c r="E116" s="11"/>
      <c r="F116" s="11"/>
      <c r="G116" s="11"/>
      <c r="H116" s="11"/>
      <c r="I116" s="26"/>
      <c r="J116" s="22" t="str">
        <f t="shared" ref="J116:J179" si="2">IF(OR(H116="",I116=""),"",H116*I116)</f>
        <v/>
      </c>
      <c r="K116" s="27"/>
      <c r="L116" s="11"/>
    </row>
    <row r="117" spans="1:12" x14ac:dyDescent="0.2">
      <c r="A117" s="25"/>
      <c r="B117" s="11"/>
      <c r="C117" s="11"/>
      <c r="D117" s="11"/>
      <c r="E117" s="11"/>
      <c r="F117" s="11"/>
      <c r="G117" s="11"/>
      <c r="H117" s="11"/>
      <c r="I117" s="26"/>
      <c r="J117" s="22" t="str">
        <f t="shared" si="2"/>
        <v/>
      </c>
      <c r="K117" s="27"/>
      <c r="L117" s="11"/>
    </row>
    <row r="118" spans="1:12" x14ac:dyDescent="0.2">
      <c r="A118" s="25"/>
      <c r="B118" s="11"/>
      <c r="C118" s="11"/>
      <c r="D118" s="11"/>
      <c r="E118" s="11"/>
      <c r="F118" s="11"/>
      <c r="G118" s="11"/>
      <c r="H118" s="11"/>
      <c r="I118" s="26"/>
      <c r="J118" s="22" t="str">
        <f t="shared" si="2"/>
        <v/>
      </c>
      <c r="K118" s="27"/>
      <c r="L118" s="11"/>
    </row>
    <row r="119" spans="1:12" x14ac:dyDescent="0.2">
      <c r="A119" s="25"/>
      <c r="B119" s="11"/>
      <c r="C119" s="11"/>
      <c r="D119" s="11"/>
      <c r="E119" s="11"/>
      <c r="F119" s="11"/>
      <c r="G119" s="11"/>
      <c r="H119" s="11"/>
      <c r="I119" s="26"/>
      <c r="J119" s="22" t="str">
        <f t="shared" si="2"/>
        <v/>
      </c>
      <c r="K119" s="27"/>
      <c r="L119" s="11"/>
    </row>
    <row r="120" spans="1:12" x14ac:dyDescent="0.2">
      <c r="A120" s="25"/>
      <c r="B120" s="11"/>
      <c r="C120" s="11"/>
      <c r="D120" s="11"/>
      <c r="E120" s="11"/>
      <c r="F120" s="11"/>
      <c r="G120" s="11"/>
      <c r="H120" s="11"/>
      <c r="I120" s="26"/>
      <c r="J120" s="22" t="str">
        <f t="shared" si="2"/>
        <v/>
      </c>
      <c r="K120" s="27"/>
      <c r="L120" s="11"/>
    </row>
    <row r="121" spans="1:12" x14ac:dyDescent="0.2">
      <c r="A121" s="25"/>
      <c r="B121" s="11"/>
      <c r="C121" s="11"/>
      <c r="D121" s="11"/>
      <c r="E121" s="11"/>
      <c r="F121" s="11"/>
      <c r="G121" s="11"/>
      <c r="H121" s="11"/>
      <c r="I121" s="26"/>
      <c r="J121" s="22" t="str">
        <f t="shared" si="2"/>
        <v/>
      </c>
      <c r="K121" s="27"/>
      <c r="L121" s="11"/>
    </row>
    <row r="122" spans="1:12" x14ac:dyDescent="0.2">
      <c r="A122" s="25"/>
      <c r="B122" s="11"/>
      <c r="C122" s="11"/>
      <c r="D122" s="11"/>
      <c r="E122" s="11"/>
      <c r="F122" s="11"/>
      <c r="G122" s="11"/>
      <c r="H122" s="11"/>
      <c r="I122" s="26"/>
      <c r="J122" s="22" t="str">
        <f t="shared" si="2"/>
        <v/>
      </c>
      <c r="K122" s="27"/>
      <c r="L122" s="11"/>
    </row>
    <row r="123" spans="1:12" x14ac:dyDescent="0.2">
      <c r="A123" s="25"/>
      <c r="B123" s="11"/>
      <c r="C123" s="11"/>
      <c r="D123" s="11"/>
      <c r="E123" s="11"/>
      <c r="F123" s="11"/>
      <c r="G123" s="11"/>
      <c r="H123" s="11"/>
      <c r="I123" s="26"/>
      <c r="J123" s="22" t="str">
        <f t="shared" si="2"/>
        <v/>
      </c>
      <c r="K123" s="27"/>
      <c r="L123" s="11"/>
    </row>
    <row r="124" spans="1:12" x14ac:dyDescent="0.2">
      <c r="A124" s="25"/>
      <c r="B124" s="11"/>
      <c r="C124" s="11"/>
      <c r="D124" s="11"/>
      <c r="E124" s="11"/>
      <c r="F124" s="11"/>
      <c r="G124" s="11"/>
      <c r="H124" s="11"/>
      <c r="I124" s="26"/>
      <c r="J124" s="22" t="str">
        <f t="shared" si="2"/>
        <v/>
      </c>
      <c r="K124" s="27"/>
      <c r="L124" s="11"/>
    </row>
    <row r="125" spans="1:12" x14ac:dyDescent="0.2">
      <c r="A125" s="25"/>
      <c r="B125" s="11"/>
      <c r="C125" s="11"/>
      <c r="D125" s="11"/>
      <c r="E125" s="11"/>
      <c r="F125" s="11"/>
      <c r="G125" s="11"/>
      <c r="H125" s="11"/>
      <c r="I125" s="26"/>
      <c r="J125" s="22" t="str">
        <f t="shared" si="2"/>
        <v/>
      </c>
      <c r="K125" s="27"/>
      <c r="L125" s="11"/>
    </row>
    <row r="126" spans="1:12" x14ac:dyDescent="0.2">
      <c r="A126" s="25"/>
      <c r="B126" s="11"/>
      <c r="C126" s="11"/>
      <c r="D126" s="11"/>
      <c r="E126" s="11"/>
      <c r="F126" s="11"/>
      <c r="G126" s="11"/>
      <c r="H126" s="11"/>
      <c r="I126" s="26"/>
      <c r="J126" s="22" t="str">
        <f t="shared" si="2"/>
        <v/>
      </c>
      <c r="K126" s="27"/>
      <c r="L126" s="11"/>
    </row>
    <row r="127" spans="1:12" x14ac:dyDescent="0.2">
      <c r="A127" s="25"/>
      <c r="B127" s="11"/>
      <c r="C127" s="11"/>
      <c r="D127" s="11"/>
      <c r="E127" s="11"/>
      <c r="F127" s="11"/>
      <c r="G127" s="11"/>
      <c r="H127" s="11"/>
      <c r="I127" s="26"/>
      <c r="J127" s="22" t="str">
        <f t="shared" si="2"/>
        <v/>
      </c>
      <c r="K127" s="27"/>
      <c r="L127" s="11"/>
    </row>
    <row r="128" spans="1:12" x14ac:dyDescent="0.2">
      <c r="A128" s="25"/>
      <c r="B128" s="11"/>
      <c r="C128" s="11"/>
      <c r="D128" s="11"/>
      <c r="E128" s="11"/>
      <c r="F128" s="11"/>
      <c r="G128" s="11"/>
      <c r="H128" s="11"/>
      <c r="I128" s="26"/>
      <c r="J128" s="22" t="str">
        <f t="shared" si="2"/>
        <v/>
      </c>
      <c r="K128" s="27"/>
      <c r="L128" s="11"/>
    </row>
    <row r="129" spans="1:12" x14ac:dyDescent="0.2">
      <c r="A129" s="25"/>
      <c r="B129" s="11"/>
      <c r="C129" s="11"/>
      <c r="D129" s="11"/>
      <c r="E129" s="11"/>
      <c r="F129" s="11"/>
      <c r="G129" s="11"/>
      <c r="H129" s="11"/>
      <c r="I129" s="26"/>
      <c r="J129" s="22" t="str">
        <f t="shared" si="2"/>
        <v/>
      </c>
      <c r="K129" s="27"/>
      <c r="L129" s="11"/>
    </row>
    <row r="130" spans="1:12" x14ac:dyDescent="0.2">
      <c r="A130" s="25"/>
      <c r="B130" s="11"/>
      <c r="C130" s="11"/>
      <c r="D130" s="11"/>
      <c r="E130" s="11"/>
      <c r="F130" s="11"/>
      <c r="G130" s="11"/>
      <c r="H130" s="11"/>
      <c r="I130" s="26"/>
      <c r="J130" s="22" t="str">
        <f t="shared" si="2"/>
        <v/>
      </c>
      <c r="K130" s="27"/>
      <c r="L130" s="11"/>
    </row>
    <row r="131" spans="1:12" x14ac:dyDescent="0.2">
      <c r="A131" s="25"/>
      <c r="B131" s="11"/>
      <c r="C131" s="11"/>
      <c r="D131" s="11"/>
      <c r="E131" s="11"/>
      <c r="F131" s="11"/>
      <c r="G131" s="11"/>
      <c r="H131" s="11"/>
      <c r="I131" s="26"/>
      <c r="J131" s="22" t="str">
        <f t="shared" si="2"/>
        <v/>
      </c>
      <c r="K131" s="27"/>
      <c r="L131" s="11"/>
    </row>
    <row r="132" spans="1:12" x14ac:dyDescent="0.2">
      <c r="A132" s="25"/>
      <c r="B132" s="11"/>
      <c r="C132" s="11"/>
      <c r="D132" s="11"/>
      <c r="E132" s="11"/>
      <c r="F132" s="11"/>
      <c r="G132" s="11"/>
      <c r="H132" s="11"/>
      <c r="I132" s="26"/>
      <c r="J132" s="22" t="str">
        <f t="shared" si="2"/>
        <v/>
      </c>
      <c r="K132" s="27"/>
      <c r="L132" s="11"/>
    </row>
    <row r="133" spans="1:12" x14ac:dyDescent="0.2">
      <c r="A133" s="25"/>
      <c r="B133" s="11"/>
      <c r="C133" s="11"/>
      <c r="D133" s="11"/>
      <c r="E133" s="11"/>
      <c r="F133" s="11"/>
      <c r="G133" s="11"/>
      <c r="H133" s="11"/>
      <c r="I133" s="26"/>
      <c r="J133" s="22" t="str">
        <f t="shared" si="2"/>
        <v/>
      </c>
      <c r="K133" s="27"/>
      <c r="L133" s="11"/>
    </row>
    <row r="134" spans="1:12" x14ac:dyDescent="0.2">
      <c r="A134" s="25"/>
      <c r="B134" s="11"/>
      <c r="C134" s="11"/>
      <c r="D134" s="11"/>
      <c r="E134" s="11"/>
      <c r="F134" s="11"/>
      <c r="G134" s="11"/>
      <c r="H134" s="11"/>
      <c r="I134" s="26"/>
      <c r="J134" s="22" t="str">
        <f t="shared" si="2"/>
        <v/>
      </c>
      <c r="K134" s="27"/>
      <c r="L134" s="11"/>
    </row>
    <row r="135" spans="1:12" x14ac:dyDescent="0.2">
      <c r="A135" s="25"/>
      <c r="B135" s="11"/>
      <c r="C135" s="11"/>
      <c r="D135" s="11"/>
      <c r="E135" s="11"/>
      <c r="F135" s="11"/>
      <c r="G135" s="11"/>
      <c r="H135" s="11"/>
      <c r="I135" s="26"/>
      <c r="J135" s="22" t="str">
        <f t="shared" si="2"/>
        <v/>
      </c>
      <c r="K135" s="27"/>
      <c r="L135" s="11"/>
    </row>
    <row r="136" spans="1:12" x14ac:dyDescent="0.2">
      <c r="A136" s="25"/>
      <c r="B136" s="11"/>
      <c r="C136" s="11"/>
      <c r="D136" s="11"/>
      <c r="E136" s="11"/>
      <c r="F136" s="11"/>
      <c r="G136" s="11"/>
      <c r="H136" s="11"/>
      <c r="I136" s="26"/>
      <c r="J136" s="22" t="str">
        <f t="shared" si="2"/>
        <v/>
      </c>
      <c r="K136" s="27"/>
      <c r="L136" s="11"/>
    </row>
    <row r="137" spans="1:12" x14ac:dyDescent="0.2">
      <c r="A137" s="25"/>
      <c r="B137" s="11"/>
      <c r="C137" s="11"/>
      <c r="D137" s="11"/>
      <c r="E137" s="11"/>
      <c r="F137" s="11"/>
      <c r="G137" s="11"/>
      <c r="H137" s="11"/>
      <c r="I137" s="26"/>
      <c r="J137" s="22" t="str">
        <f t="shared" si="2"/>
        <v/>
      </c>
      <c r="K137" s="27"/>
      <c r="L137" s="11"/>
    </row>
    <row r="138" spans="1:12" x14ac:dyDescent="0.2">
      <c r="A138" s="25"/>
      <c r="B138" s="11"/>
      <c r="C138" s="11"/>
      <c r="D138" s="11"/>
      <c r="E138" s="11"/>
      <c r="F138" s="11"/>
      <c r="G138" s="11"/>
      <c r="H138" s="11"/>
      <c r="I138" s="26"/>
      <c r="J138" s="22" t="str">
        <f t="shared" si="2"/>
        <v/>
      </c>
      <c r="K138" s="27"/>
      <c r="L138" s="11"/>
    </row>
    <row r="139" spans="1:12" x14ac:dyDescent="0.2">
      <c r="A139" s="25"/>
      <c r="B139" s="11"/>
      <c r="C139" s="11"/>
      <c r="D139" s="11"/>
      <c r="E139" s="11"/>
      <c r="F139" s="11"/>
      <c r="G139" s="11"/>
      <c r="H139" s="11"/>
      <c r="I139" s="26"/>
      <c r="J139" s="22" t="str">
        <f t="shared" si="2"/>
        <v/>
      </c>
      <c r="K139" s="27"/>
      <c r="L139" s="11"/>
    </row>
    <row r="140" spans="1:12" x14ac:dyDescent="0.2">
      <c r="A140" s="25"/>
      <c r="B140" s="11"/>
      <c r="C140" s="11"/>
      <c r="D140" s="11"/>
      <c r="E140" s="11"/>
      <c r="F140" s="11"/>
      <c r="G140" s="11"/>
      <c r="H140" s="11"/>
      <c r="I140" s="26"/>
      <c r="J140" s="22" t="str">
        <f t="shared" si="2"/>
        <v/>
      </c>
      <c r="K140" s="27"/>
      <c r="L140" s="11"/>
    </row>
    <row r="141" spans="1:12" x14ac:dyDescent="0.2">
      <c r="A141" s="25"/>
      <c r="B141" s="11"/>
      <c r="C141" s="11"/>
      <c r="D141" s="11"/>
      <c r="E141" s="11"/>
      <c r="F141" s="11"/>
      <c r="G141" s="11"/>
      <c r="H141" s="11"/>
      <c r="I141" s="26"/>
      <c r="J141" s="22" t="str">
        <f t="shared" si="2"/>
        <v/>
      </c>
      <c r="K141" s="27"/>
      <c r="L141" s="11"/>
    </row>
    <row r="142" spans="1:12" x14ac:dyDescent="0.2">
      <c r="A142" s="25"/>
      <c r="B142" s="11"/>
      <c r="C142" s="11"/>
      <c r="D142" s="11"/>
      <c r="E142" s="11"/>
      <c r="F142" s="11"/>
      <c r="G142" s="11"/>
      <c r="H142" s="11"/>
      <c r="I142" s="26"/>
      <c r="J142" s="22" t="str">
        <f t="shared" si="2"/>
        <v/>
      </c>
      <c r="K142" s="27"/>
      <c r="L142" s="11"/>
    </row>
    <row r="143" spans="1:12" x14ac:dyDescent="0.2">
      <c r="A143" s="25"/>
      <c r="B143" s="11"/>
      <c r="C143" s="11"/>
      <c r="D143" s="11"/>
      <c r="E143" s="11"/>
      <c r="F143" s="11"/>
      <c r="G143" s="11"/>
      <c r="H143" s="11"/>
      <c r="I143" s="26"/>
      <c r="J143" s="22" t="str">
        <f t="shared" si="2"/>
        <v/>
      </c>
      <c r="K143" s="27"/>
      <c r="L143" s="11"/>
    </row>
    <row r="144" spans="1:12" x14ac:dyDescent="0.2">
      <c r="A144" s="25"/>
      <c r="B144" s="11"/>
      <c r="C144" s="11"/>
      <c r="D144" s="11"/>
      <c r="E144" s="11"/>
      <c r="F144" s="11"/>
      <c r="G144" s="11"/>
      <c r="H144" s="11"/>
      <c r="I144" s="26"/>
      <c r="J144" s="22" t="str">
        <f t="shared" si="2"/>
        <v/>
      </c>
      <c r="K144" s="27"/>
      <c r="L144" s="11"/>
    </row>
    <row r="145" spans="1:12" x14ac:dyDescent="0.2">
      <c r="A145" s="25"/>
      <c r="B145" s="11"/>
      <c r="C145" s="11"/>
      <c r="D145" s="11"/>
      <c r="E145" s="11"/>
      <c r="F145" s="11"/>
      <c r="G145" s="11"/>
      <c r="H145" s="11"/>
      <c r="I145" s="26"/>
      <c r="J145" s="22" t="str">
        <f t="shared" si="2"/>
        <v/>
      </c>
      <c r="K145" s="27"/>
      <c r="L145" s="11"/>
    </row>
    <row r="146" spans="1:12" x14ac:dyDescent="0.2">
      <c r="A146" s="25"/>
      <c r="B146" s="11"/>
      <c r="C146" s="11"/>
      <c r="D146" s="11"/>
      <c r="E146" s="11"/>
      <c r="F146" s="11"/>
      <c r="G146" s="11"/>
      <c r="H146" s="11"/>
      <c r="I146" s="26"/>
      <c r="J146" s="22" t="str">
        <f t="shared" si="2"/>
        <v/>
      </c>
      <c r="K146" s="27"/>
      <c r="L146" s="11"/>
    </row>
    <row r="147" spans="1:12" x14ac:dyDescent="0.2">
      <c r="A147" s="25"/>
      <c r="B147" s="11"/>
      <c r="C147" s="11"/>
      <c r="D147" s="11"/>
      <c r="E147" s="11"/>
      <c r="F147" s="11"/>
      <c r="G147" s="11"/>
      <c r="H147" s="11"/>
      <c r="I147" s="26"/>
      <c r="J147" s="22" t="str">
        <f t="shared" si="2"/>
        <v/>
      </c>
      <c r="K147" s="27"/>
      <c r="L147" s="11"/>
    </row>
    <row r="148" spans="1:12" x14ac:dyDescent="0.2">
      <c r="A148" s="25"/>
      <c r="B148" s="11"/>
      <c r="C148" s="11"/>
      <c r="D148" s="11"/>
      <c r="E148" s="11"/>
      <c r="F148" s="11"/>
      <c r="G148" s="11"/>
      <c r="H148" s="11"/>
      <c r="I148" s="26"/>
      <c r="J148" s="22" t="str">
        <f t="shared" si="2"/>
        <v/>
      </c>
      <c r="K148" s="27"/>
      <c r="L148" s="11"/>
    </row>
    <row r="149" spans="1:12" x14ac:dyDescent="0.2">
      <c r="A149" s="25"/>
      <c r="B149" s="11"/>
      <c r="C149" s="11"/>
      <c r="D149" s="11"/>
      <c r="E149" s="11"/>
      <c r="F149" s="11"/>
      <c r="G149" s="11"/>
      <c r="H149" s="11"/>
      <c r="I149" s="26"/>
      <c r="J149" s="22" t="str">
        <f t="shared" si="2"/>
        <v/>
      </c>
      <c r="K149" s="27"/>
      <c r="L149" s="11"/>
    </row>
    <row r="150" spans="1:12" x14ac:dyDescent="0.2">
      <c r="A150" s="25"/>
      <c r="B150" s="11"/>
      <c r="C150" s="11"/>
      <c r="D150" s="11"/>
      <c r="E150" s="11"/>
      <c r="F150" s="11"/>
      <c r="G150" s="11"/>
      <c r="H150" s="11"/>
      <c r="I150" s="26"/>
      <c r="J150" s="22" t="str">
        <f t="shared" si="2"/>
        <v/>
      </c>
      <c r="K150" s="27"/>
      <c r="L150" s="11"/>
    </row>
    <row r="151" spans="1:12" x14ac:dyDescent="0.2">
      <c r="A151" s="25"/>
      <c r="B151" s="11"/>
      <c r="C151" s="11"/>
      <c r="D151" s="11"/>
      <c r="E151" s="11"/>
      <c r="F151" s="11"/>
      <c r="G151" s="11"/>
      <c r="H151" s="11"/>
      <c r="I151" s="26"/>
      <c r="J151" s="22" t="str">
        <f t="shared" si="2"/>
        <v/>
      </c>
      <c r="K151" s="27"/>
      <c r="L151" s="11"/>
    </row>
    <row r="152" spans="1:12" x14ac:dyDescent="0.2">
      <c r="A152" s="25"/>
      <c r="B152" s="11"/>
      <c r="C152" s="11"/>
      <c r="D152" s="11"/>
      <c r="E152" s="11"/>
      <c r="F152" s="11"/>
      <c r="G152" s="11"/>
      <c r="H152" s="11"/>
      <c r="I152" s="26"/>
      <c r="J152" s="22" t="str">
        <f t="shared" si="2"/>
        <v/>
      </c>
      <c r="K152" s="27"/>
      <c r="L152" s="11"/>
    </row>
    <row r="153" spans="1:12" x14ac:dyDescent="0.2">
      <c r="A153" s="25"/>
      <c r="B153" s="11"/>
      <c r="C153" s="11"/>
      <c r="D153" s="11"/>
      <c r="E153" s="11"/>
      <c r="F153" s="11"/>
      <c r="G153" s="11"/>
      <c r="H153" s="11"/>
      <c r="I153" s="26"/>
      <c r="J153" s="22" t="str">
        <f t="shared" si="2"/>
        <v/>
      </c>
      <c r="K153" s="27"/>
      <c r="L153" s="11"/>
    </row>
    <row r="154" spans="1:12" x14ac:dyDescent="0.2">
      <c r="A154" s="25"/>
      <c r="B154" s="11"/>
      <c r="C154" s="11"/>
      <c r="D154" s="11"/>
      <c r="E154" s="11"/>
      <c r="F154" s="11"/>
      <c r="G154" s="11"/>
      <c r="H154" s="11"/>
      <c r="I154" s="26"/>
      <c r="J154" s="22" t="str">
        <f t="shared" si="2"/>
        <v/>
      </c>
      <c r="K154" s="27"/>
      <c r="L154" s="11"/>
    </row>
    <row r="155" spans="1:12" x14ac:dyDescent="0.2">
      <c r="A155" s="25"/>
      <c r="B155" s="11"/>
      <c r="C155" s="11"/>
      <c r="D155" s="11"/>
      <c r="E155" s="11"/>
      <c r="F155" s="11"/>
      <c r="G155" s="11"/>
      <c r="H155" s="11"/>
      <c r="I155" s="26"/>
      <c r="J155" s="22" t="str">
        <f t="shared" si="2"/>
        <v/>
      </c>
      <c r="K155" s="27"/>
      <c r="L155" s="11"/>
    </row>
    <row r="156" spans="1:12" x14ac:dyDescent="0.2">
      <c r="A156" s="25"/>
      <c r="B156" s="11"/>
      <c r="C156" s="11"/>
      <c r="D156" s="11"/>
      <c r="E156" s="11"/>
      <c r="F156" s="11"/>
      <c r="G156" s="11"/>
      <c r="H156" s="11"/>
      <c r="I156" s="26"/>
      <c r="J156" s="22" t="str">
        <f t="shared" si="2"/>
        <v/>
      </c>
      <c r="K156" s="27"/>
      <c r="L156" s="11"/>
    </row>
    <row r="157" spans="1:12" x14ac:dyDescent="0.2">
      <c r="A157" s="25"/>
      <c r="B157" s="11"/>
      <c r="C157" s="11"/>
      <c r="D157" s="11"/>
      <c r="E157" s="11"/>
      <c r="F157" s="11"/>
      <c r="G157" s="11"/>
      <c r="H157" s="11"/>
      <c r="I157" s="26"/>
      <c r="J157" s="22" t="str">
        <f t="shared" si="2"/>
        <v/>
      </c>
      <c r="K157" s="27"/>
      <c r="L157" s="11"/>
    </row>
    <row r="158" spans="1:12" x14ac:dyDescent="0.2">
      <c r="A158" s="25"/>
      <c r="B158" s="11"/>
      <c r="C158" s="11"/>
      <c r="D158" s="11"/>
      <c r="E158" s="11"/>
      <c r="F158" s="11"/>
      <c r="G158" s="11"/>
      <c r="H158" s="11"/>
      <c r="I158" s="26"/>
      <c r="J158" s="22" t="str">
        <f t="shared" si="2"/>
        <v/>
      </c>
      <c r="K158" s="27"/>
      <c r="L158" s="11"/>
    </row>
    <row r="159" spans="1:12" x14ac:dyDescent="0.2">
      <c r="A159" s="25"/>
      <c r="B159" s="11"/>
      <c r="C159" s="11"/>
      <c r="D159" s="11"/>
      <c r="E159" s="11"/>
      <c r="F159" s="11"/>
      <c r="G159" s="11"/>
      <c r="H159" s="11"/>
      <c r="I159" s="26"/>
      <c r="J159" s="22" t="str">
        <f t="shared" si="2"/>
        <v/>
      </c>
      <c r="K159" s="27"/>
      <c r="L159" s="11"/>
    </row>
    <row r="160" spans="1:12" x14ac:dyDescent="0.2">
      <c r="A160" s="25"/>
      <c r="B160" s="11"/>
      <c r="C160" s="11"/>
      <c r="D160" s="11"/>
      <c r="E160" s="11"/>
      <c r="F160" s="11"/>
      <c r="G160" s="11"/>
      <c r="H160" s="11"/>
      <c r="I160" s="26"/>
      <c r="J160" s="22" t="str">
        <f t="shared" si="2"/>
        <v/>
      </c>
      <c r="K160" s="27"/>
      <c r="L160" s="11"/>
    </row>
    <row r="161" spans="1:12" x14ac:dyDescent="0.2">
      <c r="A161" s="25"/>
      <c r="B161" s="11"/>
      <c r="C161" s="11"/>
      <c r="D161" s="11"/>
      <c r="E161" s="11"/>
      <c r="F161" s="11"/>
      <c r="G161" s="11"/>
      <c r="H161" s="11"/>
      <c r="I161" s="26"/>
      <c r="J161" s="22" t="str">
        <f t="shared" si="2"/>
        <v/>
      </c>
      <c r="K161" s="27"/>
      <c r="L161" s="11"/>
    </row>
    <row r="162" spans="1:12" x14ac:dyDescent="0.2">
      <c r="A162" s="25"/>
      <c r="B162" s="11"/>
      <c r="C162" s="11"/>
      <c r="D162" s="11"/>
      <c r="E162" s="11"/>
      <c r="F162" s="11"/>
      <c r="G162" s="11"/>
      <c r="H162" s="11"/>
      <c r="I162" s="26"/>
      <c r="J162" s="22" t="str">
        <f t="shared" si="2"/>
        <v/>
      </c>
      <c r="K162" s="27"/>
      <c r="L162" s="11"/>
    </row>
    <row r="163" spans="1:12" x14ac:dyDescent="0.2">
      <c r="A163" s="25"/>
      <c r="B163" s="11"/>
      <c r="C163" s="11"/>
      <c r="D163" s="11"/>
      <c r="E163" s="11"/>
      <c r="F163" s="11"/>
      <c r="G163" s="11"/>
      <c r="H163" s="11"/>
      <c r="I163" s="26"/>
      <c r="J163" s="22" t="str">
        <f t="shared" si="2"/>
        <v/>
      </c>
      <c r="K163" s="27"/>
      <c r="L163" s="11"/>
    </row>
    <row r="164" spans="1:12" x14ac:dyDescent="0.2">
      <c r="A164" s="25"/>
      <c r="B164" s="11"/>
      <c r="C164" s="11"/>
      <c r="D164" s="11"/>
      <c r="E164" s="11"/>
      <c r="F164" s="11"/>
      <c r="G164" s="11"/>
      <c r="H164" s="11"/>
      <c r="I164" s="26"/>
      <c r="J164" s="22" t="str">
        <f t="shared" si="2"/>
        <v/>
      </c>
      <c r="K164" s="27"/>
      <c r="L164" s="11"/>
    </row>
    <row r="165" spans="1:12" x14ac:dyDescent="0.2">
      <c r="A165" s="25"/>
      <c r="B165" s="11"/>
      <c r="C165" s="11"/>
      <c r="D165" s="11"/>
      <c r="E165" s="11"/>
      <c r="F165" s="11"/>
      <c r="G165" s="11"/>
      <c r="H165" s="11"/>
      <c r="I165" s="26"/>
      <c r="J165" s="22" t="str">
        <f t="shared" si="2"/>
        <v/>
      </c>
      <c r="K165" s="27"/>
      <c r="L165" s="11"/>
    </row>
    <row r="166" spans="1:12" x14ac:dyDescent="0.2">
      <c r="A166" s="25"/>
      <c r="B166" s="11"/>
      <c r="C166" s="11"/>
      <c r="D166" s="11"/>
      <c r="E166" s="11"/>
      <c r="F166" s="11"/>
      <c r="G166" s="11"/>
      <c r="H166" s="11"/>
      <c r="I166" s="26"/>
      <c r="J166" s="22" t="str">
        <f t="shared" si="2"/>
        <v/>
      </c>
      <c r="K166" s="27"/>
      <c r="L166" s="11"/>
    </row>
    <row r="167" spans="1:12" x14ac:dyDescent="0.2">
      <c r="A167" s="25"/>
      <c r="B167" s="11"/>
      <c r="C167" s="11"/>
      <c r="D167" s="11"/>
      <c r="E167" s="11"/>
      <c r="F167" s="11"/>
      <c r="G167" s="11"/>
      <c r="H167" s="11"/>
      <c r="I167" s="26"/>
      <c r="J167" s="22" t="str">
        <f t="shared" si="2"/>
        <v/>
      </c>
      <c r="K167" s="27"/>
      <c r="L167" s="11"/>
    </row>
    <row r="168" spans="1:12" x14ac:dyDescent="0.2">
      <c r="A168" s="25"/>
      <c r="B168" s="11"/>
      <c r="C168" s="11"/>
      <c r="D168" s="11"/>
      <c r="E168" s="11"/>
      <c r="F168" s="11"/>
      <c r="G168" s="11"/>
      <c r="H168" s="11"/>
      <c r="I168" s="26"/>
      <c r="J168" s="22" t="str">
        <f t="shared" si="2"/>
        <v/>
      </c>
      <c r="K168" s="27"/>
      <c r="L168" s="11"/>
    </row>
    <row r="169" spans="1:12" x14ac:dyDescent="0.2">
      <c r="A169" s="25"/>
      <c r="B169" s="11"/>
      <c r="C169" s="11"/>
      <c r="D169" s="11"/>
      <c r="E169" s="11"/>
      <c r="F169" s="11"/>
      <c r="G169" s="11"/>
      <c r="H169" s="11"/>
      <c r="I169" s="26"/>
      <c r="J169" s="22" t="str">
        <f t="shared" si="2"/>
        <v/>
      </c>
      <c r="K169" s="27"/>
      <c r="L169" s="11"/>
    </row>
    <row r="170" spans="1:12" x14ac:dyDescent="0.2">
      <c r="A170" s="25"/>
      <c r="B170" s="11"/>
      <c r="C170" s="11"/>
      <c r="D170" s="11"/>
      <c r="E170" s="11"/>
      <c r="F170" s="11"/>
      <c r="G170" s="11"/>
      <c r="H170" s="11"/>
      <c r="I170" s="26"/>
      <c r="J170" s="22" t="str">
        <f t="shared" si="2"/>
        <v/>
      </c>
      <c r="K170" s="27"/>
      <c r="L170" s="11"/>
    </row>
    <row r="171" spans="1:12" x14ac:dyDescent="0.2">
      <c r="A171" s="25"/>
      <c r="B171" s="11"/>
      <c r="C171" s="11"/>
      <c r="D171" s="11"/>
      <c r="E171" s="11"/>
      <c r="F171" s="11"/>
      <c r="G171" s="11"/>
      <c r="H171" s="11"/>
      <c r="I171" s="26"/>
      <c r="J171" s="22" t="str">
        <f t="shared" si="2"/>
        <v/>
      </c>
      <c r="K171" s="27"/>
      <c r="L171" s="11"/>
    </row>
    <row r="172" spans="1:12" x14ac:dyDescent="0.2">
      <c r="A172" s="25"/>
      <c r="B172" s="11"/>
      <c r="C172" s="11"/>
      <c r="D172" s="11"/>
      <c r="E172" s="11"/>
      <c r="F172" s="11"/>
      <c r="G172" s="11"/>
      <c r="H172" s="11"/>
      <c r="I172" s="26"/>
      <c r="J172" s="22" t="str">
        <f t="shared" si="2"/>
        <v/>
      </c>
      <c r="K172" s="27"/>
      <c r="L172" s="11"/>
    </row>
    <row r="173" spans="1:12" x14ac:dyDescent="0.2">
      <c r="A173" s="25"/>
      <c r="B173" s="11"/>
      <c r="C173" s="11"/>
      <c r="D173" s="11"/>
      <c r="E173" s="11"/>
      <c r="F173" s="11"/>
      <c r="G173" s="11"/>
      <c r="H173" s="11"/>
      <c r="I173" s="26"/>
      <c r="J173" s="22" t="str">
        <f t="shared" si="2"/>
        <v/>
      </c>
      <c r="K173" s="27"/>
      <c r="L173" s="11"/>
    </row>
    <row r="174" spans="1:12" x14ac:dyDescent="0.2">
      <c r="A174" s="25"/>
      <c r="B174" s="11"/>
      <c r="C174" s="11"/>
      <c r="D174" s="11"/>
      <c r="E174" s="11"/>
      <c r="F174" s="11"/>
      <c r="G174" s="11"/>
      <c r="H174" s="11"/>
      <c r="I174" s="26"/>
      <c r="J174" s="22" t="str">
        <f t="shared" si="2"/>
        <v/>
      </c>
      <c r="K174" s="27"/>
      <c r="L174" s="11"/>
    </row>
    <row r="175" spans="1:12" x14ac:dyDescent="0.2">
      <c r="A175" s="25"/>
      <c r="B175" s="11"/>
      <c r="C175" s="11"/>
      <c r="D175" s="11"/>
      <c r="E175" s="11"/>
      <c r="F175" s="11"/>
      <c r="G175" s="11"/>
      <c r="H175" s="11"/>
      <c r="I175" s="26"/>
      <c r="J175" s="22" t="str">
        <f t="shared" si="2"/>
        <v/>
      </c>
      <c r="K175" s="27"/>
      <c r="L175" s="11"/>
    </row>
    <row r="176" spans="1:12" x14ac:dyDescent="0.2">
      <c r="A176" s="25"/>
      <c r="B176" s="11"/>
      <c r="C176" s="11"/>
      <c r="D176" s="11"/>
      <c r="E176" s="11"/>
      <c r="F176" s="11"/>
      <c r="G176" s="11"/>
      <c r="H176" s="11"/>
      <c r="I176" s="26"/>
      <c r="J176" s="22" t="str">
        <f t="shared" si="2"/>
        <v/>
      </c>
      <c r="K176" s="27"/>
      <c r="L176" s="11"/>
    </row>
    <row r="177" spans="1:12" x14ac:dyDescent="0.2">
      <c r="A177" s="25"/>
      <c r="B177" s="11"/>
      <c r="C177" s="11"/>
      <c r="D177" s="11"/>
      <c r="E177" s="11"/>
      <c r="F177" s="11"/>
      <c r="G177" s="11"/>
      <c r="H177" s="11"/>
      <c r="I177" s="26"/>
      <c r="J177" s="22" t="str">
        <f t="shared" si="2"/>
        <v/>
      </c>
      <c r="K177" s="27"/>
      <c r="L177" s="11"/>
    </row>
    <row r="178" spans="1:12" x14ac:dyDescent="0.2">
      <c r="A178" s="25"/>
      <c r="B178" s="11"/>
      <c r="C178" s="11"/>
      <c r="D178" s="11"/>
      <c r="E178" s="11"/>
      <c r="F178" s="11"/>
      <c r="G178" s="11"/>
      <c r="H178" s="11"/>
      <c r="I178" s="26"/>
      <c r="J178" s="22" t="str">
        <f t="shared" si="2"/>
        <v/>
      </c>
      <c r="K178" s="27"/>
      <c r="L178" s="11"/>
    </row>
    <row r="179" spans="1:12" x14ac:dyDescent="0.2">
      <c r="A179" s="25"/>
      <c r="B179" s="11"/>
      <c r="C179" s="11"/>
      <c r="D179" s="11"/>
      <c r="E179" s="11"/>
      <c r="F179" s="11"/>
      <c r="G179" s="11"/>
      <c r="H179" s="11"/>
      <c r="I179" s="26"/>
      <c r="J179" s="22" t="str">
        <f t="shared" si="2"/>
        <v/>
      </c>
      <c r="K179" s="27"/>
      <c r="L179" s="11"/>
    </row>
    <row r="180" spans="1:12" x14ac:dyDescent="0.2">
      <c r="A180" s="25"/>
      <c r="B180" s="11"/>
      <c r="C180" s="11"/>
      <c r="D180" s="11"/>
      <c r="E180" s="11"/>
      <c r="F180" s="11"/>
      <c r="G180" s="11"/>
      <c r="H180" s="11"/>
      <c r="I180" s="26"/>
      <c r="J180" s="22" t="str">
        <f t="shared" ref="J180:J243" si="3">IF(OR(H180="",I180=""),"",H180*I180)</f>
        <v/>
      </c>
      <c r="K180" s="27"/>
      <c r="L180" s="11"/>
    </row>
    <row r="181" spans="1:12" x14ac:dyDescent="0.2">
      <c r="A181" s="25"/>
      <c r="B181" s="11"/>
      <c r="C181" s="11"/>
      <c r="D181" s="11"/>
      <c r="E181" s="11"/>
      <c r="F181" s="11"/>
      <c r="G181" s="11"/>
      <c r="H181" s="11"/>
      <c r="I181" s="26"/>
      <c r="J181" s="22" t="str">
        <f t="shared" si="3"/>
        <v/>
      </c>
      <c r="K181" s="27"/>
      <c r="L181" s="11"/>
    </row>
    <row r="182" spans="1:12" x14ac:dyDescent="0.2">
      <c r="A182" s="25"/>
      <c r="B182" s="11"/>
      <c r="C182" s="11"/>
      <c r="D182" s="11"/>
      <c r="E182" s="11"/>
      <c r="F182" s="11"/>
      <c r="G182" s="11"/>
      <c r="H182" s="11"/>
      <c r="I182" s="26"/>
      <c r="J182" s="22" t="str">
        <f t="shared" si="3"/>
        <v/>
      </c>
      <c r="K182" s="27"/>
      <c r="L182" s="11"/>
    </row>
    <row r="183" spans="1:12" x14ac:dyDescent="0.2">
      <c r="A183" s="25"/>
      <c r="B183" s="11"/>
      <c r="C183" s="11"/>
      <c r="D183" s="11"/>
      <c r="E183" s="11"/>
      <c r="F183" s="11"/>
      <c r="G183" s="11"/>
      <c r="H183" s="11"/>
      <c r="I183" s="26"/>
      <c r="J183" s="22" t="str">
        <f t="shared" si="3"/>
        <v/>
      </c>
      <c r="K183" s="27"/>
      <c r="L183" s="11"/>
    </row>
    <row r="184" spans="1:12" x14ac:dyDescent="0.2">
      <c r="A184" s="25"/>
      <c r="B184" s="11"/>
      <c r="C184" s="11"/>
      <c r="D184" s="11"/>
      <c r="E184" s="11"/>
      <c r="F184" s="11"/>
      <c r="G184" s="11"/>
      <c r="H184" s="11"/>
      <c r="I184" s="26"/>
      <c r="J184" s="22" t="str">
        <f t="shared" si="3"/>
        <v/>
      </c>
      <c r="K184" s="27"/>
      <c r="L184" s="11"/>
    </row>
    <row r="185" spans="1:12" x14ac:dyDescent="0.2">
      <c r="A185" s="25"/>
      <c r="B185" s="11"/>
      <c r="C185" s="11"/>
      <c r="D185" s="11"/>
      <c r="E185" s="11"/>
      <c r="F185" s="11"/>
      <c r="G185" s="11"/>
      <c r="H185" s="11"/>
      <c r="I185" s="26"/>
      <c r="J185" s="22" t="str">
        <f t="shared" si="3"/>
        <v/>
      </c>
      <c r="K185" s="27"/>
      <c r="L185" s="11"/>
    </row>
    <row r="186" spans="1:12" x14ac:dyDescent="0.2">
      <c r="A186" s="25"/>
      <c r="B186" s="11"/>
      <c r="C186" s="11"/>
      <c r="D186" s="11"/>
      <c r="E186" s="11"/>
      <c r="F186" s="11"/>
      <c r="G186" s="11"/>
      <c r="H186" s="11"/>
      <c r="I186" s="26"/>
      <c r="J186" s="22" t="str">
        <f t="shared" si="3"/>
        <v/>
      </c>
      <c r="K186" s="27"/>
      <c r="L186" s="11"/>
    </row>
    <row r="187" spans="1:12" x14ac:dyDescent="0.2">
      <c r="A187" s="25"/>
      <c r="B187" s="11"/>
      <c r="C187" s="11"/>
      <c r="D187" s="11"/>
      <c r="E187" s="11"/>
      <c r="F187" s="11"/>
      <c r="G187" s="11"/>
      <c r="H187" s="11"/>
      <c r="I187" s="26"/>
      <c r="J187" s="22" t="str">
        <f t="shared" si="3"/>
        <v/>
      </c>
      <c r="K187" s="27"/>
      <c r="L187" s="11"/>
    </row>
    <row r="188" spans="1:12" x14ac:dyDescent="0.2">
      <c r="A188" s="25"/>
      <c r="B188" s="11"/>
      <c r="C188" s="11"/>
      <c r="D188" s="11"/>
      <c r="E188" s="11"/>
      <c r="F188" s="11"/>
      <c r="G188" s="11"/>
      <c r="H188" s="11"/>
      <c r="I188" s="26"/>
      <c r="J188" s="22" t="str">
        <f t="shared" si="3"/>
        <v/>
      </c>
      <c r="K188" s="27"/>
      <c r="L188" s="11"/>
    </row>
    <row r="189" spans="1:12" x14ac:dyDescent="0.2">
      <c r="A189" s="25"/>
      <c r="B189" s="11"/>
      <c r="C189" s="11"/>
      <c r="D189" s="11"/>
      <c r="E189" s="11"/>
      <c r="F189" s="11"/>
      <c r="G189" s="11"/>
      <c r="H189" s="11"/>
      <c r="I189" s="26"/>
      <c r="J189" s="22" t="str">
        <f t="shared" si="3"/>
        <v/>
      </c>
      <c r="K189" s="27"/>
      <c r="L189" s="11"/>
    </row>
    <row r="190" spans="1:12" x14ac:dyDescent="0.2">
      <c r="A190" s="25"/>
      <c r="B190" s="11"/>
      <c r="C190" s="11"/>
      <c r="D190" s="11"/>
      <c r="E190" s="11"/>
      <c r="F190" s="11"/>
      <c r="G190" s="11"/>
      <c r="H190" s="11"/>
      <c r="I190" s="26"/>
      <c r="J190" s="22" t="str">
        <f t="shared" si="3"/>
        <v/>
      </c>
      <c r="K190" s="27"/>
      <c r="L190" s="11"/>
    </row>
    <row r="191" spans="1:12" x14ac:dyDescent="0.2">
      <c r="A191" s="25"/>
      <c r="B191" s="11"/>
      <c r="C191" s="11"/>
      <c r="D191" s="11"/>
      <c r="E191" s="11"/>
      <c r="F191" s="11"/>
      <c r="G191" s="11"/>
      <c r="H191" s="11"/>
      <c r="I191" s="26"/>
      <c r="J191" s="22" t="str">
        <f t="shared" si="3"/>
        <v/>
      </c>
      <c r="K191" s="27"/>
      <c r="L191" s="11"/>
    </row>
    <row r="192" spans="1:12" x14ac:dyDescent="0.2">
      <c r="A192" s="25"/>
      <c r="B192" s="11"/>
      <c r="C192" s="11"/>
      <c r="D192" s="11"/>
      <c r="E192" s="11"/>
      <c r="F192" s="11"/>
      <c r="G192" s="11"/>
      <c r="H192" s="11"/>
      <c r="I192" s="26"/>
      <c r="J192" s="22" t="str">
        <f t="shared" si="3"/>
        <v/>
      </c>
      <c r="K192" s="27"/>
      <c r="L192" s="11"/>
    </row>
    <row r="193" spans="1:12" x14ac:dyDescent="0.2">
      <c r="A193" s="25"/>
      <c r="B193" s="11"/>
      <c r="C193" s="11"/>
      <c r="D193" s="11"/>
      <c r="E193" s="11"/>
      <c r="F193" s="11"/>
      <c r="G193" s="11"/>
      <c r="H193" s="11"/>
      <c r="I193" s="26"/>
      <c r="J193" s="22" t="str">
        <f t="shared" si="3"/>
        <v/>
      </c>
      <c r="K193" s="27"/>
      <c r="L193" s="11"/>
    </row>
    <row r="194" spans="1:12" x14ac:dyDescent="0.2">
      <c r="A194" s="25"/>
      <c r="B194" s="11"/>
      <c r="C194" s="11"/>
      <c r="D194" s="11"/>
      <c r="E194" s="11"/>
      <c r="F194" s="11"/>
      <c r="G194" s="11"/>
      <c r="H194" s="11"/>
      <c r="I194" s="26"/>
      <c r="J194" s="22" t="str">
        <f t="shared" si="3"/>
        <v/>
      </c>
      <c r="K194" s="27"/>
      <c r="L194" s="11"/>
    </row>
    <row r="195" spans="1:12" x14ac:dyDescent="0.2">
      <c r="A195" s="25"/>
      <c r="B195" s="11"/>
      <c r="C195" s="11"/>
      <c r="D195" s="11"/>
      <c r="E195" s="11"/>
      <c r="F195" s="11"/>
      <c r="G195" s="11"/>
      <c r="H195" s="11"/>
      <c r="I195" s="26"/>
      <c r="J195" s="22" t="str">
        <f t="shared" si="3"/>
        <v/>
      </c>
      <c r="K195" s="27"/>
      <c r="L195" s="11"/>
    </row>
    <row r="196" spans="1:12" x14ac:dyDescent="0.2">
      <c r="A196" s="25"/>
      <c r="B196" s="11"/>
      <c r="C196" s="11"/>
      <c r="D196" s="11"/>
      <c r="E196" s="11"/>
      <c r="F196" s="11"/>
      <c r="G196" s="11"/>
      <c r="H196" s="11"/>
      <c r="I196" s="26"/>
      <c r="J196" s="22" t="str">
        <f t="shared" si="3"/>
        <v/>
      </c>
      <c r="K196" s="27"/>
      <c r="L196" s="11"/>
    </row>
    <row r="197" spans="1:12" x14ac:dyDescent="0.2">
      <c r="A197" s="25"/>
      <c r="B197" s="11"/>
      <c r="C197" s="11"/>
      <c r="D197" s="11"/>
      <c r="E197" s="11"/>
      <c r="F197" s="11"/>
      <c r="G197" s="11"/>
      <c r="H197" s="11"/>
      <c r="I197" s="26"/>
      <c r="J197" s="22" t="str">
        <f t="shared" si="3"/>
        <v/>
      </c>
      <c r="K197" s="27"/>
      <c r="L197" s="11"/>
    </row>
    <row r="198" spans="1:12" x14ac:dyDescent="0.2">
      <c r="A198" s="25"/>
      <c r="B198" s="11"/>
      <c r="C198" s="11"/>
      <c r="D198" s="11"/>
      <c r="E198" s="11"/>
      <c r="F198" s="11"/>
      <c r="G198" s="11"/>
      <c r="H198" s="11"/>
      <c r="I198" s="26"/>
      <c r="J198" s="22" t="str">
        <f t="shared" si="3"/>
        <v/>
      </c>
      <c r="K198" s="27"/>
      <c r="L198" s="11"/>
    </row>
    <row r="199" spans="1:12" x14ac:dyDescent="0.2">
      <c r="A199" s="25"/>
      <c r="B199" s="11"/>
      <c r="C199" s="11"/>
      <c r="D199" s="11"/>
      <c r="E199" s="11"/>
      <c r="F199" s="11"/>
      <c r="G199" s="11"/>
      <c r="H199" s="11"/>
      <c r="I199" s="26"/>
      <c r="J199" s="22" t="str">
        <f t="shared" si="3"/>
        <v/>
      </c>
      <c r="K199" s="27"/>
      <c r="L199" s="11"/>
    </row>
    <row r="200" spans="1:12" x14ac:dyDescent="0.2">
      <c r="A200" s="25"/>
      <c r="B200" s="11"/>
      <c r="C200" s="11"/>
      <c r="D200" s="11"/>
      <c r="E200" s="11"/>
      <c r="F200" s="11"/>
      <c r="G200" s="11"/>
      <c r="H200" s="11"/>
      <c r="I200" s="26"/>
      <c r="J200" s="22" t="str">
        <f t="shared" si="3"/>
        <v/>
      </c>
      <c r="K200" s="27"/>
      <c r="L200" s="11"/>
    </row>
    <row r="201" spans="1:12" x14ac:dyDescent="0.2">
      <c r="A201" s="25"/>
      <c r="B201" s="11"/>
      <c r="C201" s="11"/>
      <c r="D201" s="11"/>
      <c r="E201" s="11"/>
      <c r="F201" s="11"/>
      <c r="G201" s="11"/>
      <c r="H201" s="11"/>
      <c r="I201" s="26"/>
      <c r="J201" s="22" t="str">
        <f t="shared" si="3"/>
        <v/>
      </c>
      <c r="K201" s="27"/>
      <c r="L201" s="11"/>
    </row>
    <row r="202" spans="1:12" x14ac:dyDescent="0.2">
      <c r="A202" s="25"/>
      <c r="B202" s="11"/>
      <c r="C202" s="11"/>
      <c r="D202" s="11"/>
      <c r="E202" s="11"/>
      <c r="F202" s="11"/>
      <c r="G202" s="11"/>
      <c r="H202" s="11"/>
      <c r="I202" s="26"/>
      <c r="J202" s="22" t="str">
        <f t="shared" si="3"/>
        <v/>
      </c>
      <c r="K202" s="27"/>
      <c r="L202" s="11"/>
    </row>
    <row r="203" spans="1:12" x14ac:dyDescent="0.2">
      <c r="A203" s="25"/>
      <c r="B203" s="11"/>
      <c r="C203" s="11"/>
      <c r="D203" s="11"/>
      <c r="E203" s="11"/>
      <c r="F203" s="11"/>
      <c r="G203" s="11"/>
      <c r="H203" s="11"/>
      <c r="I203" s="26"/>
      <c r="J203" s="22" t="str">
        <f t="shared" si="3"/>
        <v/>
      </c>
      <c r="K203" s="27"/>
      <c r="L203" s="11"/>
    </row>
    <row r="204" spans="1:12" x14ac:dyDescent="0.2">
      <c r="A204" s="25"/>
      <c r="B204" s="11"/>
      <c r="C204" s="11"/>
      <c r="D204" s="11"/>
      <c r="E204" s="11"/>
      <c r="F204" s="11"/>
      <c r="G204" s="11"/>
      <c r="H204" s="11"/>
      <c r="I204" s="26"/>
      <c r="J204" s="22" t="str">
        <f t="shared" si="3"/>
        <v/>
      </c>
      <c r="K204" s="27"/>
      <c r="L204" s="11"/>
    </row>
    <row r="205" spans="1:12" x14ac:dyDescent="0.2">
      <c r="A205" s="25"/>
      <c r="B205" s="11"/>
      <c r="C205" s="11"/>
      <c r="D205" s="11"/>
      <c r="E205" s="11"/>
      <c r="F205" s="11"/>
      <c r="G205" s="11"/>
      <c r="H205" s="11"/>
      <c r="I205" s="26"/>
      <c r="J205" s="22" t="str">
        <f t="shared" si="3"/>
        <v/>
      </c>
      <c r="K205" s="27"/>
      <c r="L205" s="11"/>
    </row>
    <row r="206" spans="1:12" x14ac:dyDescent="0.2">
      <c r="A206" s="25"/>
      <c r="B206" s="11"/>
      <c r="C206" s="11"/>
      <c r="D206" s="11"/>
      <c r="E206" s="11"/>
      <c r="F206" s="11"/>
      <c r="G206" s="11"/>
      <c r="H206" s="11"/>
      <c r="I206" s="26"/>
      <c r="J206" s="22" t="str">
        <f t="shared" si="3"/>
        <v/>
      </c>
      <c r="K206" s="27"/>
      <c r="L206" s="11"/>
    </row>
    <row r="207" spans="1:12" x14ac:dyDescent="0.2">
      <c r="A207" s="25"/>
      <c r="B207" s="11"/>
      <c r="C207" s="11"/>
      <c r="D207" s="11"/>
      <c r="E207" s="11"/>
      <c r="F207" s="11"/>
      <c r="G207" s="11"/>
      <c r="H207" s="11"/>
      <c r="I207" s="26"/>
      <c r="J207" s="22" t="str">
        <f t="shared" si="3"/>
        <v/>
      </c>
      <c r="K207" s="27"/>
      <c r="L207" s="11"/>
    </row>
    <row r="208" spans="1:12" x14ac:dyDescent="0.2">
      <c r="A208" s="25"/>
      <c r="B208" s="11"/>
      <c r="C208" s="11"/>
      <c r="D208" s="11"/>
      <c r="E208" s="11"/>
      <c r="F208" s="11"/>
      <c r="G208" s="11"/>
      <c r="H208" s="11"/>
      <c r="I208" s="26"/>
      <c r="J208" s="22" t="str">
        <f t="shared" si="3"/>
        <v/>
      </c>
      <c r="K208" s="27"/>
      <c r="L208" s="11"/>
    </row>
    <row r="209" spans="1:12" x14ac:dyDescent="0.2">
      <c r="A209" s="25"/>
      <c r="B209" s="11"/>
      <c r="C209" s="11"/>
      <c r="D209" s="11"/>
      <c r="E209" s="11"/>
      <c r="F209" s="11"/>
      <c r="G209" s="11"/>
      <c r="H209" s="11"/>
      <c r="I209" s="26"/>
      <c r="J209" s="22" t="str">
        <f t="shared" si="3"/>
        <v/>
      </c>
      <c r="K209" s="27"/>
      <c r="L209" s="11"/>
    </row>
    <row r="210" spans="1:12" x14ac:dyDescent="0.2">
      <c r="A210" s="25"/>
      <c r="B210" s="11"/>
      <c r="C210" s="11"/>
      <c r="D210" s="11"/>
      <c r="E210" s="11"/>
      <c r="F210" s="11"/>
      <c r="G210" s="11"/>
      <c r="H210" s="11"/>
      <c r="I210" s="26"/>
      <c r="J210" s="22" t="str">
        <f t="shared" si="3"/>
        <v/>
      </c>
      <c r="K210" s="27"/>
      <c r="L210" s="11"/>
    </row>
    <row r="211" spans="1:12" x14ac:dyDescent="0.2">
      <c r="A211" s="25"/>
      <c r="B211" s="11"/>
      <c r="C211" s="11"/>
      <c r="D211" s="11"/>
      <c r="E211" s="11"/>
      <c r="F211" s="11"/>
      <c r="G211" s="11"/>
      <c r="H211" s="11"/>
      <c r="I211" s="26"/>
      <c r="J211" s="22" t="str">
        <f t="shared" si="3"/>
        <v/>
      </c>
      <c r="K211" s="27"/>
      <c r="L211" s="11"/>
    </row>
    <row r="212" spans="1:12" x14ac:dyDescent="0.2">
      <c r="A212" s="25"/>
      <c r="B212" s="11"/>
      <c r="C212" s="11"/>
      <c r="D212" s="11"/>
      <c r="E212" s="11"/>
      <c r="F212" s="11"/>
      <c r="G212" s="11"/>
      <c r="H212" s="11"/>
      <c r="I212" s="26"/>
      <c r="J212" s="22" t="str">
        <f t="shared" si="3"/>
        <v/>
      </c>
      <c r="K212" s="27"/>
      <c r="L212" s="11"/>
    </row>
    <row r="213" spans="1:12" x14ac:dyDescent="0.2">
      <c r="A213" s="25"/>
      <c r="B213" s="11"/>
      <c r="C213" s="11"/>
      <c r="D213" s="11"/>
      <c r="E213" s="11"/>
      <c r="F213" s="11"/>
      <c r="G213" s="11"/>
      <c r="H213" s="11"/>
      <c r="I213" s="26"/>
      <c r="J213" s="22" t="str">
        <f t="shared" si="3"/>
        <v/>
      </c>
      <c r="K213" s="27"/>
      <c r="L213" s="11"/>
    </row>
    <row r="214" spans="1:12" x14ac:dyDescent="0.2">
      <c r="A214" s="25"/>
      <c r="B214" s="11"/>
      <c r="C214" s="11"/>
      <c r="D214" s="11"/>
      <c r="E214" s="11"/>
      <c r="F214" s="11"/>
      <c r="G214" s="11"/>
      <c r="H214" s="11"/>
      <c r="I214" s="26"/>
      <c r="J214" s="22" t="str">
        <f t="shared" si="3"/>
        <v/>
      </c>
      <c r="K214" s="27"/>
      <c r="L214" s="11"/>
    </row>
    <row r="215" spans="1:12" x14ac:dyDescent="0.2">
      <c r="A215" s="25"/>
      <c r="B215" s="11"/>
      <c r="C215" s="11"/>
      <c r="D215" s="11"/>
      <c r="E215" s="11"/>
      <c r="F215" s="11"/>
      <c r="G215" s="11"/>
      <c r="H215" s="11"/>
      <c r="I215" s="26"/>
      <c r="J215" s="22" t="str">
        <f t="shared" si="3"/>
        <v/>
      </c>
      <c r="K215" s="27"/>
      <c r="L215" s="11"/>
    </row>
    <row r="216" spans="1:12" x14ac:dyDescent="0.2">
      <c r="A216" s="25"/>
      <c r="B216" s="11"/>
      <c r="C216" s="11"/>
      <c r="D216" s="11"/>
      <c r="E216" s="11"/>
      <c r="F216" s="11"/>
      <c r="G216" s="11"/>
      <c r="H216" s="11"/>
      <c r="I216" s="26"/>
      <c r="J216" s="22" t="str">
        <f t="shared" si="3"/>
        <v/>
      </c>
      <c r="K216" s="27"/>
      <c r="L216" s="11"/>
    </row>
    <row r="217" spans="1:12" x14ac:dyDescent="0.2">
      <c r="A217" s="25"/>
      <c r="B217" s="11"/>
      <c r="C217" s="11"/>
      <c r="D217" s="11"/>
      <c r="E217" s="11"/>
      <c r="F217" s="11"/>
      <c r="G217" s="11"/>
      <c r="H217" s="11"/>
      <c r="I217" s="26"/>
      <c r="J217" s="22" t="str">
        <f t="shared" si="3"/>
        <v/>
      </c>
      <c r="K217" s="27"/>
      <c r="L217" s="11"/>
    </row>
    <row r="218" spans="1:12" x14ac:dyDescent="0.2">
      <c r="A218" s="25"/>
      <c r="B218" s="11"/>
      <c r="C218" s="11"/>
      <c r="D218" s="11"/>
      <c r="E218" s="11"/>
      <c r="F218" s="11"/>
      <c r="G218" s="11"/>
      <c r="H218" s="11"/>
      <c r="I218" s="26"/>
      <c r="J218" s="22" t="str">
        <f t="shared" si="3"/>
        <v/>
      </c>
      <c r="K218" s="27"/>
      <c r="L218" s="11"/>
    </row>
    <row r="219" spans="1:12" x14ac:dyDescent="0.2">
      <c r="A219" s="25"/>
      <c r="B219" s="11"/>
      <c r="C219" s="11"/>
      <c r="D219" s="11"/>
      <c r="E219" s="11"/>
      <c r="F219" s="11"/>
      <c r="G219" s="11"/>
      <c r="H219" s="11"/>
      <c r="I219" s="26"/>
      <c r="J219" s="22" t="str">
        <f t="shared" si="3"/>
        <v/>
      </c>
      <c r="K219" s="27"/>
      <c r="L219" s="11"/>
    </row>
    <row r="220" spans="1:12" x14ac:dyDescent="0.2">
      <c r="A220" s="25"/>
      <c r="B220" s="11"/>
      <c r="C220" s="11"/>
      <c r="D220" s="11"/>
      <c r="E220" s="11"/>
      <c r="F220" s="11"/>
      <c r="G220" s="11"/>
      <c r="H220" s="11"/>
      <c r="I220" s="26"/>
      <c r="J220" s="22" t="str">
        <f t="shared" si="3"/>
        <v/>
      </c>
      <c r="K220" s="27"/>
      <c r="L220" s="11"/>
    </row>
    <row r="221" spans="1:12" x14ac:dyDescent="0.2">
      <c r="A221" s="25"/>
      <c r="B221" s="11"/>
      <c r="C221" s="11"/>
      <c r="D221" s="11"/>
      <c r="E221" s="11"/>
      <c r="F221" s="11"/>
      <c r="G221" s="11"/>
      <c r="H221" s="11"/>
      <c r="I221" s="26"/>
      <c r="J221" s="22" t="str">
        <f t="shared" si="3"/>
        <v/>
      </c>
      <c r="K221" s="27"/>
      <c r="L221" s="11"/>
    </row>
    <row r="222" spans="1:12" x14ac:dyDescent="0.2">
      <c r="A222" s="25"/>
      <c r="B222" s="11"/>
      <c r="C222" s="11"/>
      <c r="D222" s="11"/>
      <c r="E222" s="11"/>
      <c r="F222" s="11"/>
      <c r="G222" s="11"/>
      <c r="H222" s="11"/>
      <c r="I222" s="26"/>
      <c r="J222" s="22" t="str">
        <f t="shared" si="3"/>
        <v/>
      </c>
      <c r="K222" s="27"/>
      <c r="L222" s="11"/>
    </row>
    <row r="223" spans="1:12" x14ac:dyDescent="0.2">
      <c r="A223" s="25"/>
      <c r="B223" s="11"/>
      <c r="C223" s="11"/>
      <c r="D223" s="11"/>
      <c r="E223" s="11"/>
      <c r="F223" s="11"/>
      <c r="G223" s="11"/>
      <c r="H223" s="11"/>
      <c r="I223" s="26"/>
      <c r="J223" s="22" t="str">
        <f t="shared" si="3"/>
        <v/>
      </c>
      <c r="K223" s="27"/>
      <c r="L223" s="11"/>
    </row>
    <row r="224" spans="1:12" x14ac:dyDescent="0.2">
      <c r="A224" s="25"/>
      <c r="B224" s="11"/>
      <c r="C224" s="11"/>
      <c r="D224" s="11"/>
      <c r="E224" s="11"/>
      <c r="F224" s="11"/>
      <c r="G224" s="11"/>
      <c r="H224" s="11"/>
      <c r="I224" s="26"/>
      <c r="J224" s="22" t="str">
        <f t="shared" si="3"/>
        <v/>
      </c>
      <c r="K224" s="27"/>
      <c r="L224" s="11"/>
    </row>
    <row r="225" spans="1:12" x14ac:dyDescent="0.2">
      <c r="A225" s="25"/>
      <c r="B225" s="11"/>
      <c r="C225" s="11"/>
      <c r="D225" s="11"/>
      <c r="E225" s="11"/>
      <c r="F225" s="11"/>
      <c r="G225" s="11"/>
      <c r="H225" s="11"/>
      <c r="I225" s="26"/>
      <c r="J225" s="22" t="str">
        <f t="shared" si="3"/>
        <v/>
      </c>
      <c r="K225" s="27"/>
      <c r="L225" s="11"/>
    </row>
    <row r="226" spans="1:12" x14ac:dyDescent="0.2">
      <c r="A226" s="25"/>
      <c r="B226" s="11"/>
      <c r="C226" s="11"/>
      <c r="D226" s="11"/>
      <c r="E226" s="11"/>
      <c r="F226" s="11"/>
      <c r="G226" s="11"/>
      <c r="H226" s="11"/>
      <c r="I226" s="26"/>
      <c r="J226" s="22" t="str">
        <f t="shared" si="3"/>
        <v/>
      </c>
      <c r="K226" s="27"/>
      <c r="L226" s="11"/>
    </row>
    <row r="227" spans="1:12" x14ac:dyDescent="0.2">
      <c r="A227" s="25"/>
      <c r="B227" s="11"/>
      <c r="C227" s="11"/>
      <c r="D227" s="11"/>
      <c r="E227" s="11"/>
      <c r="F227" s="11"/>
      <c r="G227" s="11"/>
      <c r="H227" s="11"/>
      <c r="I227" s="26"/>
      <c r="J227" s="22" t="str">
        <f t="shared" si="3"/>
        <v/>
      </c>
      <c r="K227" s="27"/>
      <c r="L227" s="11"/>
    </row>
    <row r="228" spans="1:12" x14ac:dyDescent="0.2">
      <c r="A228" s="25"/>
      <c r="B228" s="11"/>
      <c r="C228" s="11"/>
      <c r="D228" s="11"/>
      <c r="E228" s="11"/>
      <c r="F228" s="11"/>
      <c r="G228" s="11"/>
      <c r="H228" s="11"/>
      <c r="I228" s="26"/>
      <c r="J228" s="22" t="str">
        <f t="shared" si="3"/>
        <v/>
      </c>
      <c r="K228" s="27"/>
      <c r="L228" s="11"/>
    </row>
    <row r="229" spans="1:12" x14ac:dyDescent="0.2">
      <c r="A229" s="25"/>
      <c r="B229" s="11"/>
      <c r="C229" s="11"/>
      <c r="D229" s="11"/>
      <c r="E229" s="11"/>
      <c r="F229" s="11"/>
      <c r="G229" s="11"/>
      <c r="H229" s="11"/>
      <c r="I229" s="26"/>
      <c r="J229" s="22" t="str">
        <f t="shared" si="3"/>
        <v/>
      </c>
      <c r="K229" s="27"/>
      <c r="L229" s="11"/>
    </row>
    <row r="230" spans="1:12" x14ac:dyDescent="0.2">
      <c r="A230" s="25"/>
      <c r="B230" s="11"/>
      <c r="C230" s="11"/>
      <c r="D230" s="11"/>
      <c r="E230" s="11"/>
      <c r="F230" s="11"/>
      <c r="G230" s="11"/>
      <c r="H230" s="11"/>
      <c r="I230" s="26"/>
      <c r="J230" s="22" t="str">
        <f t="shared" si="3"/>
        <v/>
      </c>
      <c r="K230" s="27"/>
      <c r="L230" s="11"/>
    </row>
    <row r="231" spans="1:12" x14ac:dyDescent="0.2">
      <c r="A231" s="25"/>
      <c r="B231" s="11"/>
      <c r="C231" s="11"/>
      <c r="D231" s="11"/>
      <c r="E231" s="11"/>
      <c r="F231" s="11"/>
      <c r="G231" s="11"/>
      <c r="H231" s="11"/>
      <c r="I231" s="26"/>
      <c r="J231" s="22" t="str">
        <f t="shared" si="3"/>
        <v/>
      </c>
      <c r="K231" s="27"/>
      <c r="L231" s="11"/>
    </row>
    <row r="232" spans="1:12" x14ac:dyDescent="0.2">
      <c r="A232" s="25"/>
      <c r="B232" s="11"/>
      <c r="C232" s="11"/>
      <c r="D232" s="11"/>
      <c r="E232" s="11"/>
      <c r="F232" s="11"/>
      <c r="G232" s="11"/>
      <c r="H232" s="11"/>
      <c r="I232" s="26"/>
      <c r="J232" s="22" t="str">
        <f t="shared" si="3"/>
        <v/>
      </c>
      <c r="K232" s="27"/>
      <c r="L232" s="11"/>
    </row>
    <row r="233" spans="1:12" x14ac:dyDescent="0.2">
      <c r="A233" s="25"/>
      <c r="B233" s="11"/>
      <c r="C233" s="11"/>
      <c r="D233" s="11"/>
      <c r="E233" s="11"/>
      <c r="F233" s="11"/>
      <c r="G233" s="11"/>
      <c r="H233" s="11"/>
      <c r="I233" s="26"/>
      <c r="J233" s="22" t="str">
        <f t="shared" si="3"/>
        <v/>
      </c>
      <c r="K233" s="27"/>
      <c r="L233" s="11"/>
    </row>
    <row r="234" spans="1:12" x14ac:dyDescent="0.2">
      <c r="A234" s="25"/>
      <c r="B234" s="11"/>
      <c r="C234" s="11"/>
      <c r="D234" s="11"/>
      <c r="E234" s="11"/>
      <c r="F234" s="11"/>
      <c r="G234" s="11"/>
      <c r="H234" s="11"/>
      <c r="I234" s="26"/>
      <c r="J234" s="22" t="str">
        <f t="shared" si="3"/>
        <v/>
      </c>
      <c r="K234" s="27"/>
      <c r="L234" s="11"/>
    </row>
    <row r="235" spans="1:12" x14ac:dyDescent="0.2">
      <c r="A235" s="25"/>
      <c r="B235" s="11"/>
      <c r="C235" s="11"/>
      <c r="D235" s="11"/>
      <c r="E235" s="11"/>
      <c r="F235" s="11"/>
      <c r="G235" s="11"/>
      <c r="H235" s="11"/>
      <c r="I235" s="26"/>
      <c r="J235" s="22" t="str">
        <f t="shared" si="3"/>
        <v/>
      </c>
      <c r="K235" s="27"/>
      <c r="L235" s="11"/>
    </row>
    <row r="236" spans="1:12" x14ac:dyDescent="0.2">
      <c r="A236" s="25"/>
      <c r="B236" s="11"/>
      <c r="C236" s="11"/>
      <c r="D236" s="11"/>
      <c r="E236" s="11"/>
      <c r="F236" s="11"/>
      <c r="G236" s="11"/>
      <c r="H236" s="11"/>
      <c r="I236" s="26"/>
      <c r="J236" s="22" t="str">
        <f t="shared" si="3"/>
        <v/>
      </c>
      <c r="K236" s="27"/>
      <c r="L236" s="11"/>
    </row>
    <row r="237" spans="1:12" x14ac:dyDescent="0.2">
      <c r="A237" s="25"/>
      <c r="B237" s="11"/>
      <c r="C237" s="11"/>
      <c r="D237" s="11"/>
      <c r="E237" s="11"/>
      <c r="F237" s="11"/>
      <c r="G237" s="11"/>
      <c r="H237" s="11"/>
      <c r="I237" s="26"/>
      <c r="J237" s="22" t="str">
        <f t="shared" si="3"/>
        <v/>
      </c>
      <c r="K237" s="27"/>
      <c r="L237" s="11"/>
    </row>
    <row r="238" spans="1:12" x14ac:dyDescent="0.2">
      <c r="A238" s="25"/>
      <c r="B238" s="11"/>
      <c r="C238" s="11"/>
      <c r="D238" s="11"/>
      <c r="E238" s="11"/>
      <c r="F238" s="11"/>
      <c r="G238" s="11"/>
      <c r="H238" s="11"/>
      <c r="I238" s="26"/>
      <c r="J238" s="22" t="str">
        <f t="shared" si="3"/>
        <v/>
      </c>
      <c r="K238" s="27"/>
      <c r="L238" s="11"/>
    </row>
    <row r="239" spans="1:12" x14ac:dyDescent="0.2">
      <c r="A239" s="25"/>
      <c r="B239" s="11"/>
      <c r="C239" s="11"/>
      <c r="D239" s="11"/>
      <c r="E239" s="11"/>
      <c r="F239" s="11"/>
      <c r="G239" s="11"/>
      <c r="H239" s="11"/>
      <c r="I239" s="26"/>
      <c r="J239" s="22" t="str">
        <f t="shared" si="3"/>
        <v/>
      </c>
      <c r="K239" s="27"/>
      <c r="L239" s="11"/>
    </row>
    <row r="240" spans="1:12" x14ac:dyDescent="0.2">
      <c r="A240" s="25"/>
      <c r="B240" s="11"/>
      <c r="C240" s="11"/>
      <c r="D240" s="11"/>
      <c r="E240" s="11"/>
      <c r="F240" s="11"/>
      <c r="G240" s="11"/>
      <c r="H240" s="11"/>
      <c r="I240" s="26"/>
      <c r="J240" s="22" t="str">
        <f t="shared" si="3"/>
        <v/>
      </c>
      <c r="K240" s="27"/>
      <c r="L240" s="11"/>
    </row>
    <row r="241" spans="1:12" x14ac:dyDescent="0.2">
      <c r="A241" s="25"/>
      <c r="B241" s="11"/>
      <c r="C241" s="11"/>
      <c r="D241" s="11"/>
      <c r="E241" s="11"/>
      <c r="F241" s="11"/>
      <c r="G241" s="11"/>
      <c r="H241" s="11"/>
      <c r="I241" s="26"/>
      <c r="J241" s="22" t="str">
        <f t="shared" si="3"/>
        <v/>
      </c>
      <c r="K241" s="27"/>
      <c r="L241" s="11"/>
    </row>
    <row r="242" spans="1:12" x14ac:dyDescent="0.2">
      <c r="A242" s="25"/>
      <c r="B242" s="11"/>
      <c r="C242" s="11"/>
      <c r="D242" s="11"/>
      <c r="E242" s="11"/>
      <c r="F242" s="11"/>
      <c r="G242" s="11"/>
      <c r="H242" s="11"/>
      <c r="I242" s="26"/>
      <c r="J242" s="22" t="str">
        <f t="shared" si="3"/>
        <v/>
      </c>
      <c r="K242" s="27"/>
      <c r="L242" s="11"/>
    </row>
    <row r="243" spans="1:12" x14ac:dyDescent="0.2">
      <c r="A243" s="25"/>
      <c r="B243" s="11"/>
      <c r="C243" s="11"/>
      <c r="D243" s="11"/>
      <c r="E243" s="11"/>
      <c r="F243" s="11"/>
      <c r="G243" s="11"/>
      <c r="H243" s="11"/>
      <c r="I243" s="26"/>
      <c r="J243" s="22" t="str">
        <f t="shared" si="3"/>
        <v/>
      </c>
      <c r="K243" s="27"/>
      <c r="L243" s="11"/>
    </row>
    <row r="244" spans="1:12" x14ac:dyDescent="0.2">
      <c r="A244" s="25"/>
      <c r="B244" s="11"/>
      <c r="C244" s="11"/>
      <c r="D244" s="11"/>
      <c r="E244" s="11"/>
      <c r="F244" s="11"/>
      <c r="G244" s="11"/>
      <c r="H244" s="11"/>
      <c r="I244" s="26"/>
      <c r="J244" s="22" t="str">
        <f t="shared" ref="J244:J307" si="4">IF(OR(H244="",I244=""),"",H244*I244)</f>
        <v/>
      </c>
      <c r="K244" s="27"/>
      <c r="L244" s="11"/>
    </row>
    <row r="245" spans="1:12" x14ac:dyDescent="0.2">
      <c r="A245" s="25"/>
      <c r="B245" s="11"/>
      <c r="C245" s="11"/>
      <c r="D245" s="11"/>
      <c r="E245" s="11"/>
      <c r="F245" s="11"/>
      <c r="G245" s="11"/>
      <c r="H245" s="11"/>
      <c r="I245" s="26"/>
      <c r="J245" s="22" t="str">
        <f t="shared" si="4"/>
        <v/>
      </c>
      <c r="K245" s="27"/>
      <c r="L245" s="11"/>
    </row>
    <row r="246" spans="1:12" x14ac:dyDescent="0.2">
      <c r="A246" s="25"/>
      <c r="B246" s="11"/>
      <c r="C246" s="11"/>
      <c r="D246" s="11"/>
      <c r="E246" s="11"/>
      <c r="F246" s="11"/>
      <c r="G246" s="11"/>
      <c r="H246" s="11"/>
      <c r="I246" s="26"/>
      <c r="J246" s="22" t="str">
        <f t="shared" si="4"/>
        <v/>
      </c>
      <c r="K246" s="27"/>
      <c r="L246" s="11"/>
    </row>
    <row r="247" spans="1:12" x14ac:dyDescent="0.2">
      <c r="A247" s="25"/>
      <c r="B247" s="11"/>
      <c r="C247" s="11"/>
      <c r="D247" s="11"/>
      <c r="E247" s="11"/>
      <c r="F247" s="11"/>
      <c r="G247" s="11"/>
      <c r="H247" s="11"/>
      <c r="I247" s="26"/>
      <c r="J247" s="22" t="str">
        <f t="shared" si="4"/>
        <v/>
      </c>
      <c r="K247" s="27"/>
      <c r="L247" s="11"/>
    </row>
    <row r="248" spans="1:12" x14ac:dyDescent="0.2">
      <c r="A248" s="25"/>
      <c r="B248" s="11"/>
      <c r="C248" s="11"/>
      <c r="D248" s="11"/>
      <c r="E248" s="11"/>
      <c r="F248" s="11"/>
      <c r="G248" s="11"/>
      <c r="H248" s="11"/>
      <c r="I248" s="26"/>
      <c r="J248" s="22" t="str">
        <f t="shared" si="4"/>
        <v/>
      </c>
      <c r="K248" s="27"/>
      <c r="L248" s="11"/>
    </row>
    <row r="249" spans="1:12" x14ac:dyDescent="0.2">
      <c r="A249" s="25"/>
      <c r="B249" s="11"/>
      <c r="C249" s="11"/>
      <c r="D249" s="11"/>
      <c r="E249" s="11"/>
      <c r="F249" s="11"/>
      <c r="G249" s="11"/>
      <c r="H249" s="11"/>
      <c r="I249" s="26"/>
      <c r="J249" s="22" t="str">
        <f t="shared" si="4"/>
        <v/>
      </c>
      <c r="K249" s="27"/>
      <c r="L249" s="11"/>
    </row>
    <row r="250" spans="1:12" x14ac:dyDescent="0.2">
      <c r="A250" s="25"/>
      <c r="B250" s="11"/>
      <c r="C250" s="11"/>
      <c r="D250" s="11"/>
      <c r="E250" s="11"/>
      <c r="F250" s="11"/>
      <c r="G250" s="11"/>
      <c r="H250" s="11"/>
      <c r="I250" s="26"/>
      <c r="J250" s="22" t="str">
        <f t="shared" si="4"/>
        <v/>
      </c>
      <c r="K250" s="27"/>
      <c r="L250" s="11"/>
    </row>
    <row r="251" spans="1:12" x14ac:dyDescent="0.2">
      <c r="A251" s="25"/>
      <c r="B251" s="11"/>
      <c r="C251" s="11"/>
      <c r="D251" s="11"/>
      <c r="E251" s="11"/>
      <c r="F251" s="11"/>
      <c r="G251" s="11"/>
      <c r="H251" s="11"/>
      <c r="I251" s="26"/>
      <c r="J251" s="22" t="str">
        <f t="shared" si="4"/>
        <v/>
      </c>
      <c r="K251" s="27"/>
      <c r="L251" s="11"/>
    </row>
    <row r="252" spans="1:12" x14ac:dyDescent="0.2">
      <c r="A252" s="25"/>
      <c r="B252" s="11"/>
      <c r="C252" s="11"/>
      <c r="D252" s="11"/>
      <c r="E252" s="11"/>
      <c r="F252" s="11"/>
      <c r="G252" s="11"/>
      <c r="H252" s="11"/>
      <c r="I252" s="26"/>
      <c r="J252" s="22" t="str">
        <f t="shared" si="4"/>
        <v/>
      </c>
      <c r="K252" s="27"/>
      <c r="L252" s="11"/>
    </row>
    <row r="253" spans="1:12" x14ac:dyDescent="0.2">
      <c r="A253" s="25"/>
      <c r="B253" s="11"/>
      <c r="C253" s="11"/>
      <c r="D253" s="11"/>
      <c r="E253" s="11"/>
      <c r="F253" s="11"/>
      <c r="G253" s="11"/>
      <c r="H253" s="11"/>
      <c r="I253" s="26"/>
      <c r="J253" s="22" t="str">
        <f t="shared" si="4"/>
        <v/>
      </c>
      <c r="K253" s="27"/>
      <c r="L253" s="11"/>
    </row>
    <row r="254" spans="1:12" x14ac:dyDescent="0.2">
      <c r="A254" s="25"/>
      <c r="B254" s="11"/>
      <c r="C254" s="11"/>
      <c r="D254" s="11"/>
      <c r="E254" s="11"/>
      <c r="F254" s="11"/>
      <c r="G254" s="11"/>
      <c r="H254" s="11"/>
      <c r="I254" s="26"/>
      <c r="J254" s="22" t="str">
        <f t="shared" si="4"/>
        <v/>
      </c>
      <c r="K254" s="27"/>
      <c r="L254" s="11"/>
    </row>
    <row r="255" spans="1:12" x14ac:dyDescent="0.2">
      <c r="A255" s="25"/>
      <c r="B255" s="11"/>
      <c r="C255" s="11"/>
      <c r="D255" s="11"/>
      <c r="E255" s="11"/>
      <c r="F255" s="11"/>
      <c r="G255" s="11"/>
      <c r="H255" s="11"/>
      <c r="I255" s="26"/>
      <c r="J255" s="22" t="str">
        <f t="shared" si="4"/>
        <v/>
      </c>
      <c r="K255" s="27"/>
      <c r="L255" s="11"/>
    </row>
    <row r="256" spans="1:12" x14ac:dyDescent="0.2">
      <c r="A256" s="25"/>
      <c r="B256" s="11"/>
      <c r="C256" s="11"/>
      <c r="D256" s="11"/>
      <c r="E256" s="11"/>
      <c r="F256" s="11"/>
      <c r="G256" s="11"/>
      <c r="H256" s="11"/>
      <c r="I256" s="26"/>
      <c r="J256" s="22" t="str">
        <f t="shared" si="4"/>
        <v/>
      </c>
      <c r="K256" s="27"/>
      <c r="L256" s="11"/>
    </row>
    <row r="257" spans="1:12" x14ac:dyDescent="0.2">
      <c r="A257" s="25"/>
      <c r="B257" s="11"/>
      <c r="C257" s="11"/>
      <c r="D257" s="11"/>
      <c r="E257" s="11"/>
      <c r="F257" s="11"/>
      <c r="G257" s="11"/>
      <c r="H257" s="11"/>
      <c r="I257" s="26"/>
      <c r="J257" s="22" t="str">
        <f t="shared" si="4"/>
        <v/>
      </c>
      <c r="K257" s="27"/>
      <c r="L257" s="11"/>
    </row>
    <row r="258" spans="1:12" x14ac:dyDescent="0.2">
      <c r="A258" s="25"/>
      <c r="B258" s="11"/>
      <c r="C258" s="11"/>
      <c r="D258" s="11"/>
      <c r="E258" s="11"/>
      <c r="F258" s="11"/>
      <c r="G258" s="11"/>
      <c r="H258" s="11"/>
      <c r="I258" s="26"/>
      <c r="J258" s="22" t="str">
        <f t="shared" si="4"/>
        <v/>
      </c>
      <c r="K258" s="27"/>
      <c r="L258" s="11"/>
    </row>
    <row r="259" spans="1:12" x14ac:dyDescent="0.2">
      <c r="A259" s="25"/>
      <c r="B259" s="11"/>
      <c r="C259" s="11"/>
      <c r="D259" s="11"/>
      <c r="E259" s="11"/>
      <c r="F259" s="11"/>
      <c r="G259" s="11"/>
      <c r="H259" s="11"/>
      <c r="I259" s="26"/>
      <c r="J259" s="22" t="str">
        <f t="shared" si="4"/>
        <v/>
      </c>
      <c r="K259" s="27"/>
      <c r="L259" s="11"/>
    </row>
    <row r="260" spans="1:12" x14ac:dyDescent="0.2">
      <c r="A260" s="25"/>
      <c r="B260" s="11"/>
      <c r="C260" s="11"/>
      <c r="D260" s="11"/>
      <c r="E260" s="11"/>
      <c r="F260" s="11"/>
      <c r="G260" s="11"/>
      <c r="H260" s="11"/>
      <c r="I260" s="26"/>
      <c r="J260" s="22" t="str">
        <f t="shared" si="4"/>
        <v/>
      </c>
      <c r="K260" s="27"/>
      <c r="L260" s="11"/>
    </row>
    <row r="261" spans="1:12" x14ac:dyDescent="0.2">
      <c r="A261" s="25"/>
      <c r="B261" s="11"/>
      <c r="C261" s="11"/>
      <c r="D261" s="11"/>
      <c r="E261" s="11"/>
      <c r="F261" s="11"/>
      <c r="G261" s="11"/>
      <c r="H261" s="11"/>
      <c r="I261" s="26"/>
      <c r="J261" s="22" t="str">
        <f t="shared" si="4"/>
        <v/>
      </c>
      <c r="K261" s="27"/>
      <c r="L261" s="11"/>
    </row>
    <row r="262" spans="1:12" x14ac:dyDescent="0.2">
      <c r="A262" s="25"/>
      <c r="B262" s="11"/>
      <c r="C262" s="11"/>
      <c r="D262" s="11"/>
      <c r="E262" s="11"/>
      <c r="F262" s="11"/>
      <c r="G262" s="11"/>
      <c r="H262" s="11"/>
      <c r="I262" s="26"/>
      <c r="J262" s="22" t="str">
        <f t="shared" si="4"/>
        <v/>
      </c>
      <c r="K262" s="27"/>
      <c r="L262" s="11"/>
    </row>
    <row r="263" spans="1:12" x14ac:dyDescent="0.2">
      <c r="A263" s="25"/>
      <c r="B263" s="11"/>
      <c r="C263" s="11"/>
      <c r="D263" s="11"/>
      <c r="E263" s="11"/>
      <c r="F263" s="11"/>
      <c r="G263" s="11"/>
      <c r="H263" s="11"/>
      <c r="I263" s="26"/>
      <c r="J263" s="22" t="str">
        <f t="shared" si="4"/>
        <v/>
      </c>
      <c r="K263" s="27"/>
      <c r="L263" s="11"/>
    </row>
    <row r="264" spans="1:12" x14ac:dyDescent="0.2">
      <c r="A264" s="25"/>
      <c r="B264" s="11"/>
      <c r="C264" s="11"/>
      <c r="D264" s="11"/>
      <c r="E264" s="11"/>
      <c r="F264" s="11"/>
      <c r="G264" s="11"/>
      <c r="H264" s="11"/>
      <c r="I264" s="26"/>
      <c r="J264" s="22" t="str">
        <f t="shared" si="4"/>
        <v/>
      </c>
      <c r="K264" s="27"/>
      <c r="L264" s="11"/>
    </row>
    <row r="265" spans="1:12" x14ac:dyDescent="0.2">
      <c r="A265" s="25"/>
      <c r="B265" s="11"/>
      <c r="C265" s="11"/>
      <c r="D265" s="11"/>
      <c r="E265" s="11"/>
      <c r="F265" s="11"/>
      <c r="G265" s="11"/>
      <c r="H265" s="11"/>
      <c r="I265" s="26"/>
      <c r="J265" s="22" t="str">
        <f t="shared" si="4"/>
        <v/>
      </c>
      <c r="K265" s="27"/>
      <c r="L265" s="11"/>
    </row>
    <row r="266" spans="1:12" x14ac:dyDescent="0.2">
      <c r="A266" s="25"/>
      <c r="B266" s="11"/>
      <c r="C266" s="11"/>
      <c r="D266" s="11"/>
      <c r="E266" s="11"/>
      <c r="F266" s="11"/>
      <c r="G266" s="11"/>
      <c r="H266" s="11"/>
      <c r="I266" s="26"/>
      <c r="J266" s="22" t="str">
        <f t="shared" si="4"/>
        <v/>
      </c>
      <c r="K266" s="27"/>
      <c r="L266" s="11"/>
    </row>
    <row r="267" spans="1:12" x14ac:dyDescent="0.2">
      <c r="A267" s="25"/>
      <c r="B267" s="11"/>
      <c r="C267" s="11"/>
      <c r="D267" s="11"/>
      <c r="E267" s="11"/>
      <c r="F267" s="11"/>
      <c r="G267" s="11"/>
      <c r="H267" s="11"/>
      <c r="I267" s="26"/>
      <c r="J267" s="22" t="str">
        <f t="shared" si="4"/>
        <v/>
      </c>
      <c r="K267" s="27"/>
      <c r="L267" s="11"/>
    </row>
    <row r="268" spans="1:12" x14ac:dyDescent="0.2">
      <c r="A268" s="25"/>
      <c r="B268" s="11"/>
      <c r="C268" s="11"/>
      <c r="D268" s="11"/>
      <c r="E268" s="11"/>
      <c r="F268" s="11"/>
      <c r="G268" s="11"/>
      <c r="H268" s="11"/>
      <c r="I268" s="26"/>
      <c r="J268" s="22" t="str">
        <f t="shared" si="4"/>
        <v/>
      </c>
      <c r="K268" s="27"/>
      <c r="L268" s="11"/>
    </row>
    <row r="269" spans="1:12" x14ac:dyDescent="0.2">
      <c r="A269" s="25"/>
      <c r="B269" s="11"/>
      <c r="C269" s="11"/>
      <c r="D269" s="11"/>
      <c r="E269" s="11"/>
      <c r="F269" s="11"/>
      <c r="G269" s="11"/>
      <c r="H269" s="11"/>
      <c r="I269" s="26"/>
      <c r="J269" s="22" t="str">
        <f t="shared" si="4"/>
        <v/>
      </c>
      <c r="K269" s="27"/>
      <c r="L269" s="11"/>
    </row>
    <row r="270" spans="1:12" x14ac:dyDescent="0.2">
      <c r="A270" s="25"/>
      <c r="B270" s="11"/>
      <c r="C270" s="11"/>
      <c r="D270" s="11"/>
      <c r="E270" s="11"/>
      <c r="F270" s="11"/>
      <c r="G270" s="11"/>
      <c r="H270" s="11"/>
      <c r="I270" s="26"/>
      <c r="J270" s="22" t="str">
        <f t="shared" si="4"/>
        <v/>
      </c>
      <c r="K270" s="27"/>
      <c r="L270" s="11"/>
    </row>
    <row r="271" spans="1:12" x14ac:dyDescent="0.2">
      <c r="A271" s="25"/>
      <c r="B271" s="11"/>
      <c r="C271" s="11"/>
      <c r="D271" s="11"/>
      <c r="E271" s="11"/>
      <c r="F271" s="11"/>
      <c r="G271" s="11"/>
      <c r="H271" s="11"/>
      <c r="I271" s="26"/>
      <c r="J271" s="22" t="str">
        <f t="shared" si="4"/>
        <v/>
      </c>
      <c r="K271" s="27"/>
      <c r="L271" s="11"/>
    </row>
    <row r="272" spans="1:12" x14ac:dyDescent="0.2">
      <c r="A272" s="25"/>
      <c r="B272" s="11"/>
      <c r="C272" s="11"/>
      <c r="D272" s="11"/>
      <c r="E272" s="11"/>
      <c r="F272" s="11"/>
      <c r="G272" s="11"/>
      <c r="H272" s="11"/>
      <c r="I272" s="26"/>
      <c r="J272" s="22" t="str">
        <f t="shared" si="4"/>
        <v/>
      </c>
      <c r="K272" s="27"/>
      <c r="L272" s="11"/>
    </row>
    <row r="273" spans="1:12" x14ac:dyDescent="0.2">
      <c r="A273" s="25"/>
      <c r="B273" s="11"/>
      <c r="C273" s="11"/>
      <c r="D273" s="11"/>
      <c r="E273" s="11"/>
      <c r="F273" s="11"/>
      <c r="G273" s="11"/>
      <c r="H273" s="11"/>
      <c r="I273" s="26"/>
      <c r="J273" s="22" t="str">
        <f t="shared" si="4"/>
        <v/>
      </c>
      <c r="K273" s="27"/>
      <c r="L273" s="11"/>
    </row>
    <row r="274" spans="1:12" x14ac:dyDescent="0.2">
      <c r="A274" s="25"/>
      <c r="B274" s="11"/>
      <c r="C274" s="11"/>
      <c r="D274" s="11"/>
      <c r="E274" s="11"/>
      <c r="F274" s="11"/>
      <c r="G274" s="11"/>
      <c r="H274" s="11"/>
      <c r="I274" s="26"/>
      <c r="J274" s="22" t="str">
        <f t="shared" si="4"/>
        <v/>
      </c>
      <c r="K274" s="27"/>
      <c r="L274" s="11"/>
    </row>
    <row r="275" spans="1:12" x14ac:dyDescent="0.2">
      <c r="A275" s="25"/>
      <c r="B275" s="11"/>
      <c r="C275" s="11"/>
      <c r="D275" s="11"/>
      <c r="E275" s="11"/>
      <c r="F275" s="11"/>
      <c r="G275" s="11"/>
      <c r="H275" s="11"/>
      <c r="I275" s="26"/>
      <c r="J275" s="22" t="str">
        <f t="shared" si="4"/>
        <v/>
      </c>
      <c r="K275" s="27"/>
      <c r="L275" s="11"/>
    </row>
    <row r="276" spans="1:12" x14ac:dyDescent="0.2">
      <c r="A276" s="25"/>
      <c r="B276" s="11"/>
      <c r="C276" s="11"/>
      <c r="D276" s="11"/>
      <c r="E276" s="11"/>
      <c r="F276" s="11"/>
      <c r="G276" s="11"/>
      <c r="H276" s="11"/>
      <c r="I276" s="26"/>
      <c r="J276" s="22" t="str">
        <f t="shared" si="4"/>
        <v/>
      </c>
      <c r="K276" s="27"/>
      <c r="L276" s="11"/>
    </row>
    <row r="277" spans="1:12" x14ac:dyDescent="0.2">
      <c r="A277" s="25"/>
      <c r="B277" s="11"/>
      <c r="C277" s="11"/>
      <c r="D277" s="11"/>
      <c r="E277" s="11"/>
      <c r="F277" s="11"/>
      <c r="G277" s="11"/>
      <c r="H277" s="11"/>
      <c r="I277" s="26"/>
      <c r="J277" s="22" t="str">
        <f t="shared" si="4"/>
        <v/>
      </c>
      <c r="K277" s="27"/>
      <c r="L277" s="11"/>
    </row>
    <row r="278" spans="1:12" x14ac:dyDescent="0.2">
      <c r="A278" s="25"/>
      <c r="B278" s="11"/>
      <c r="C278" s="11"/>
      <c r="D278" s="11"/>
      <c r="E278" s="11"/>
      <c r="F278" s="11"/>
      <c r="G278" s="11"/>
      <c r="H278" s="11"/>
      <c r="I278" s="26"/>
      <c r="J278" s="22" t="str">
        <f t="shared" si="4"/>
        <v/>
      </c>
      <c r="K278" s="27"/>
      <c r="L278" s="11"/>
    </row>
    <row r="279" spans="1:12" x14ac:dyDescent="0.2">
      <c r="A279" s="25"/>
      <c r="B279" s="11"/>
      <c r="C279" s="11"/>
      <c r="D279" s="11"/>
      <c r="E279" s="11"/>
      <c r="F279" s="11"/>
      <c r="G279" s="11"/>
      <c r="H279" s="11"/>
      <c r="I279" s="26"/>
      <c r="J279" s="22" t="str">
        <f t="shared" si="4"/>
        <v/>
      </c>
      <c r="K279" s="27"/>
      <c r="L279" s="11"/>
    </row>
    <row r="280" spans="1:12" x14ac:dyDescent="0.2">
      <c r="A280" s="25"/>
      <c r="B280" s="11"/>
      <c r="C280" s="11"/>
      <c r="D280" s="11"/>
      <c r="E280" s="11"/>
      <c r="F280" s="11"/>
      <c r="G280" s="11"/>
      <c r="H280" s="11"/>
      <c r="I280" s="26"/>
      <c r="J280" s="22" t="str">
        <f t="shared" si="4"/>
        <v/>
      </c>
      <c r="K280" s="27"/>
      <c r="L280" s="11"/>
    </row>
    <row r="281" spans="1:12" x14ac:dyDescent="0.2">
      <c r="A281" s="25"/>
      <c r="B281" s="11"/>
      <c r="C281" s="11"/>
      <c r="D281" s="11"/>
      <c r="E281" s="11"/>
      <c r="F281" s="11"/>
      <c r="G281" s="11"/>
      <c r="H281" s="11"/>
      <c r="I281" s="26"/>
      <c r="J281" s="22" t="str">
        <f t="shared" si="4"/>
        <v/>
      </c>
      <c r="K281" s="27"/>
      <c r="L281" s="11"/>
    </row>
    <row r="282" spans="1:12" x14ac:dyDescent="0.2">
      <c r="A282" s="25"/>
      <c r="B282" s="11"/>
      <c r="C282" s="11"/>
      <c r="D282" s="11"/>
      <c r="E282" s="11"/>
      <c r="F282" s="11"/>
      <c r="G282" s="11"/>
      <c r="H282" s="11"/>
      <c r="I282" s="26"/>
      <c r="J282" s="22" t="str">
        <f t="shared" si="4"/>
        <v/>
      </c>
      <c r="K282" s="27"/>
      <c r="L282" s="11"/>
    </row>
    <row r="283" spans="1:12" x14ac:dyDescent="0.2">
      <c r="A283" s="25"/>
      <c r="B283" s="11"/>
      <c r="C283" s="11"/>
      <c r="D283" s="11"/>
      <c r="E283" s="11"/>
      <c r="F283" s="11"/>
      <c r="G283" s="11"/>
      <c r="H283" s="11"/>
      <c r="I283" s="26"/>
      <c r="J283" s="22" t="str">
        <f t="shared" si="4"/>
        <v/>
      </c>
      <c r="K283" s="27"/>
      <c r="L283" s="11"/>
    </row>
    <row r="284" spans="1:12" x14ac:dyDescent="0.2">
      <c r="A284" s="25"/>
      <c r="B284" s="11"/>
      <c r="C284" s="11"/>
      <c r="D284" s="11"/>
      <c r="E284" s="11"/>
      <c r="F284" s="11"/>
      <c r="G284" s="11"/>
      <c r="H284" s="11"/>
      <c r="I284" s="26"/>
      <c r="J284" s="22" t="str">
        <f t="shared" si="4"/>
        <v/>
      </c>
      <c r="K284" s="27"/>
      <c r="L284" s="11"/>
    </row>
    <row r="285" spans="1:12" x14ac:dyDescent="0.2">
      <c r="A285" s="25"/>
      <c r="B285" s="11"/>
      <c r="C285" s="11"/>
      <c r="D285" s="11"/>
      <c r="E285" s="11"/>
      <c r="F285" s="11"/>
      <c r="G285" s="11"/>
      <c r="H285" s="11"/>
      <c r="I285" s="26"/>
      <c r="J285" s="22" t="str">
        <f t="shared" si="4"/>
        <v/>
      </c>
      <c r="K285" s="27"/>
      <c r="L285" s="11"/>
    </row>
    <row r="286" spans="1:12" x14ac:dyDescent="0.2">
      <c r="A286" s="25"/>
      <c r="B286" s="11"/>
      <c r="C286" s="11"/>
      <c r="D286" s="11"/>
      <c r="E286" s="11"/>
      <c r="F286" s="11"/>
      <c r="G286" s="11"/>
      <c r="H286" s="11"/>
      <c r="I286" s="26"/>
      <c r="J286" s="22" t="str">
        <f t="shared" si="4"/>
        <v/>
      </c>
      <c r="K286" s="27"/>
      <c r="L286" s="11"/>
    </row>
    <row r="287" spans="1:12" x14ac:dyDescent="0.2">
      <c r="A287" s="25"/>
      <c r="B287" s="11"/>
      <c r="C287" s="11"/>
      <c r="D287" s="11"/>
      <c r="E287" s="11"/>
      <c r="F287" s="11"/>
      <c r="G287" s="11"/>
      <c r="H287" s="11"/>
      <c r="I287" s="26"/>
      <c r="J287" s="22" t="str">
        <f t="shared" si="4"/>
        <v/>
      </c>
      <c r="K287" s="27"/>
      <c r="L287" s="11"/>
    </row>
    <row r="288" spans="1:12" x14ac:dyDescent="0.2">
      <c r="A288" s="25"/>
      <c r="B288" s="11"/>
      <c r="C288" s="11"/>
      <c r="D288" s="11"/>
      <c r="E288" s="11"/>
      <c r="F288" s="11"/>
      <c r="G288" s="11"/>
      <c r="H288" s="11"/>
      <c r="I288" s="26"/>
      <c r="J288" s="22" t="str">
        <f t="shared" si="4"/>
        <v/>
      </c>
      <c r="K288" s="27"/>
      <c r="L288" s="11"/>
    </row>
    <row r="289" spans="1:12" x14ac:dyDescent="0.2">
      <c r="A289" s="25"/>
      <c r="B289" s="11"/>
      <c r="C289" s="11"/>
      <c r="D289" s="11"/>
      <c r="E289" s="11"/>
      <c r="F289" s="11"/>
      <c r="G289" s="11"/>
      <c r="H289" s="11"/>
      <c r="I289" s="26"/>
      <c r="J289" s="22" t="str">
        <f t="shared" si="4"/>
        <v/>
      </c>
      <c r="K289" s="27"/>
      <c r="L289" s="11"/>
    </row>
    <row r="290" spans="1:12" x14ac:dyDescent="0.2">
      <c r="A290" s="25"/>
      <c r="B290" s="11"/>
      <c r="C290" s="11"/>
      <c r="D290" s="11"/>
      <c r="E290" s="11"/>
      <c r="F290" s="11"/>
      <c r="G290" s="11"/>
      <c r="H290" s="11"/>
      <c r="I290" s="26"/>
      <c r="J290" s="22" t="str">
        <f t="shared" si="4"/>
        <v/>
      </c>
      <c r="K290" s="27"/>
      <c r="L290" s="11"/>
    </row>
    <row r="291" spans="1:12" x14ac:dyDescent="0.2">
      <c r="A291" s="25"/>
      <c r="B291" s="11"/>
      <c r="C291" s="11"/>
      <c r="D291" s="11"/>
      <c r="E291" s="11"/>
      <c r="F291" s="11"/>
      <c r="G291" s="11"/>
      <c r="H291" s="11"/>
      <c r="I291" s="26"/>
      <c r="J291" s="22" t="str">
        <f t="shared" si="4"/>
        <v/>
      </c>
      <c r="K291" s="27"/>
      <c r="L291" s="11"/>
    </row>
    <row r="292" spans="1:12" x14ac:dyDescent="0.2">
      <c r="A292" s="25"/>
      <c r="B292" s="11"/>
      <c r="C292" s="11"/>
      <c r="D292" s="11"/>
      <c r="E292" s="11"/>
      <c r="F292" s="11"/>
      <c r="G292" s="11"/>
      <c r="H292" s="11"/>
      <c r="I292" s="26"/>
      <c r="J292" s="22" t="str">
        <f t="shared" si="4"/>
        <v/>
      </c>
      <c r="K292" s="27"/>
      <c r="L292" s="11"/>
    </row>
    <row r="293" spans="1:12" x14ac:dyDescent="0.2">
      <c r="A293" s="25"/>
      <c r="B293" s="11"/>
      <c r="C293" s="11"/>
      <c r="D293" s="11"/>
      <c r="E293" s="11"/>
      <c r="F293" s="11"/>
      <c r="G293" s="11"/>
      <c r="H293" s="11"/>
      <c r="I293" s="26"/>
      <c r="J293" s="22" t="str">
        <f t="shared" si="4"/>
        <v/>
      </c>
      <c r="K293" s="27"/>
      <c r="L293" s="11"/>
    </row>
    <row r="294" spans="1:12" x14ac:dyDescent="0.2">
      <c r="A294" s="25"/>
      <c r="B294" s="11"/>
      <c r="C294" s="11"/>
      <c r="D294" s="11"/>
      <c r="E294" s="11"/>
      <c r="F294" s="11"/>
      <c r="G294" s="11"/>
      <c r="H294" s="11"/>
      <c r="I294" s="26"/>
      <c r="J294" s="22" t="str">
        <f t="shared" si="4"/>
        <v/>
      </c>
      <c r="K294" s="27"/>
      <c r="L294" s="11"/>
    </row>
    <row r="295" spans="1:12" x14ac:dyDescent="0.2">
      <c r="A295" s="25"/>
      <c r="B295" s="11"/>
      <c r="C295" s="11"/>
      <c r="D295" s="11"/>
      <c r="E295" s="11"/>
      <c r="F295" s="11"/>
      <c r="G295" s="11"/>
      <c r="H295" s="11"/>
      <c r="I295" s="26"/>
      <c r="J295" s="22" t="str">
        <f t="shared" si="4"/>
        <v/>
      </c>
      <c r="K295" s="27"/>
      <c r="L295" s="11"/>
    </row>
    <row r="296" spans="1:12" x14ac:dyDescent="0.2">
      <c r="A296" s="25"/>
      <c r="B296" s="11"/>
      <c r="C296" s="11"/>
      <c r="D296" s="11"/>
      <c r="E296" s="11"/>
      <c r="F296" s="11"/>
      <c r="G296" s="11"/>
      <c r="H296" s="11"/>
      <c r="I296" s="26"/>
      <c r="J296" s="22" t="str">
        <f t="shared" si="4"/>
        <v/>
      </c>
      <c r="K296" s="27"/>
      <c r="L296" s="11"/>
    </row>
    <row r="297" spans="1:12" x14ac:dyDescent="0.2">
      <c r="A297" s="25"/>
      <c r="B297" s="11"/>
      <c r="C297" s="11"/>
      <c r="D297" s="11"/>
      <c r="E297" s="11"/>
      <c r="F297" s="11"/>
      <c r="G297" s="11"/>
      <c r="H297" s="11"/>
      <c r="I297" s="26"/>
      <c r="J297" s="22" t="str">
        <f t="shared" si="4"/>
        <v/>
      </c>
      <c r="K297" s="27"/>
      <c r="L297" s="11"/>
    </row>
    <row r="298" spans="1:12" x14ac:dyDescent="0.2">
      <c r="A298" s="25"/>
      <c r="B298" s="11"/>
      <c r="C298" s="11"/>
      <c r="D298" s="11"/>
      <c r="E298" s="11"/>
      <c r="F298" s="11"/>
      <c r="G298" s="11"/>
      <c r="H298" s="11"/>
      <c r="I298" s="26"/>
      <c r="J298" s="22" t="str">
        <f t="shared" si="4"/>
        <v/>
      </c>
      <c r="K298" s="27"/>
      <c r="L298" s="11"/>
    </row>
    <row r="299" spans="1:12" x14ac:dyDescent="0.2">
      <c r="A299" s="25"/>
      <c r="B299" s="11"/>
      <c r="C299" s="11"/>
      <c r="D299" s="11"/>
      <c r="E299" s="11"/>
      <c r="F299" s="11"/>
      <c r="G299" s="11"/>
      <c r="H299" s="11"/>
      <c r="I299" s="26"/>
      <c r="J299" s="22" t="str">
        <f t="shared" si="4"/>
        <v/>
      </c>
      <c r="K299" s="27"/>
      <c r="L299" s="11"/>
    </row>
    <row r="300" spans="1:12" x14ac:dyDescent="0.2">
      <c r="A300" s="25"/>
      <c r="B300" s="11"/>
      <c r="C300" s="11"/>
      <c r="D300" s="11"/>
      <c r="E300" s="11"/>
      <c r="F300" s="11"/>
      <c r="G300" s="11"/>
      <c r="H300" s="11"/>
      <c r="I300" s="26"/>
      <c r="J300" s="22" t="str">
        <f t="shared" si="4"/>
        <v/>
      </c>
      <c r="K300" s="27"/>
      <c r="L300" s="11"/>
    </row>
    <row r="301" spans="1:12" x14ac:dyDescent="0.2">
      <c r="A301" s="25"/>
      <c r="B301" s="11"/>
      <c r="C301" s="11"/>
      <c r="D301" s="11"/>
      <c r="E301" s="11"/>
      <c r="F301" s="11"/>
      <c r="G301" s="11"/>
      <c r="H301" s="11"/>
      <c r="I301" s="26"/>
      <c r="J301" s="22" t="str">
        <f t="shared" si="4"/>
        <v/>
      </c>
      <c r="K301" s="27"/>
      <c r="L301" s="11"/>
    </row>
    <row r="302" spans="1:12" x14ac:dyDescent="0.2">
      <c r="A302" s="25"/>
      <c r="B302" s="11"/>
      <c r="C302" s="11"/>
      <c r="D302" s="11"/>
      <c r="E302" s="11"/>
      <c r="F302" s="11"/>
      <c r="G302" s="11"/>
      <c r="H302" s="11"/>
      <c r="I302" s="26"/>
      <c r="J302" s="22" t="str">
        <f t="shared" si="4"/>
        <v/>
      </c>
      <c r="K302" s="27"/>
      <c r="L302" s="11"/>
    </row>
    <row r="303" spans="1:12" x14ac:dyDescent="0.2">
      <c r="A303" s="25"/>
      <c r="B303" s="11"/>
      <c r="C303" s="11"/>
      <c r="D303" s="11"/>
      <c r="E303" s="11"/>
      <c r="F303" s="11"/>
      <c r="G303" s="11"/>
      <c r="H303" s="11"/>
      <c r="I303" s="26"/>
      <c r="J303" s="22" t="str">
        <f t="shared" si="4"/>
        <v/>
      </c>
      <c r="K303" s="27"/>
      <c r="L303" s="11"/>
    </row>
    <row r="304" spans="1:12" x14ac:dyDescent="0.2">
      <c r="A304" s="25"/>
      <c r="B304" s="11"/>
      <c r="C304" s="11"/>
      <c r="D304" s="11"/>
      <c r="E304" s="11"/>
      <c r="F304" s="11"/>
      <c r="G304" s="11"/>
      <c r="H304" s="11"/>
      <c r="I304" s="26"/>
      <c r="J304" s="22" t="str">
        <f t="shared" si="4"/>
        <v/>
      </c>
      <c r="K304" s="27"/>
      <c r="L304" s="11"/>
    </row>
    <row r="305" spans="1:12" x14ac:dyDescent="0.2">
      <c r="A305" s="25"/>
      <c r="B305" s="11"/>
      <c r="C305" s="11"/>
      <c r="D305" s="11"/>
      <c r="E305" s="11"/>
      <c r="F305" s="11"/>
      <c r="G305" s="11"/>
      <c r="H305" s="11"/>
      <c r="I305" s="26"/>
      <c r="J305" s="22" t="str">
        <f t="shared" si="4"/>
        <v/>
      </c>
      <c r="K305" s="27"/>
      <c r="L305" s="11"/>
    </row>
    <row r="306" spans="1:12" x14ac:dyDescent="0.2">
      <c r="A306" s="25"/>
      <c r="B306" s="11"/>
      <c r="C306" s="11"/>
      <c r="D306" s="11"/>
      <c r="E306" s="11"/>
      <c r="F306" s="11"/>
      <c r="G306" s="11"/>
      <c r="H306" s="11"/>
      <c r="I306" s="26"/>
      <c r="J306" s="22" t="str">
        <f t="shared" si="4"/>
        <v/>
      </c>
      <c r="K306" s="27"/>
      <c r="L306" s="11"/>
    </row>
    <row r="307" spans="1:12" x14ac:dyDescent="0.2">
      <c r="A307" s="25"/>
      <c r="B307" s="11"/>
      <c r="C307" s="11"/>
      <c r="D307" s="11"/>
      <c r="E307" s="11"/>
      <c r="F307" s="11"/>
      <c r="G307" s="11"/>
      <c r="H307" s="11"/>
      <c r="I307" s="26"/>
      <c r="J307" s="22" t="str">
        <f t="shared" si="4"/>
        <v/>
      </c>
      <c r="K307" s="27"/>
      <c r="L307" s="11"/>
    </row>
    <row r="308" spans="1:12" x14ac:dyDescent="0.2">
      <c r="A308" s="25"/>
      <c r="B308" s="11"/>
      <c r="C308" s="11"/>
      <c r="D308" s="11"/>
      <c r="E308" s="11"/>
      <c r="F308" s="11"/>
      <c r="G308" s="11"/>
      <c r="H308" s="11"/>
      <c r="I308" s="26"/>
      <c r="J308" s="22" t="str">
        <f t="shared" ref="J308:J371" si="5">IF(OR(H308="",I308=""),"",H308*I308)</f>
        <v/>
      </c>
      <c r="K308" s="27"/>
      <c r="L308" s="11"/>
    </row>
    <row r="309" spans="1:12" x14ac:dyDescent="0.2">
      <c r="A309" s="25"/>
      <c r="B309" s="11"/>
      <c r="C309" s="11"/>
      <c r="D309" s="11"/>
      <c r="E309" s="11"/>
      <c r="F309" s="11"/>
      <c r="G309" s="11"/>
      <c r="H309" s="11"/>
      <c r="I309" s="26"/>
      <c r="J309" s="22" t="str">
        <f t="shared" si="5"/>
        <v/>
      </c>
      <c r="K309" s="27"/>
      <c r="L309" s="11"/>
    </row>
    <row r="310" spans="1:12" x14ac:dyDescent="0.2">
      <c r="A310" s="25"/>
      <c r="B310" s="11"/>
      <c r="C310" s="11"/>
      <c r="D310" s="11"/>
      <c r="E310" s="11"/>
      <c r="F310" s="11"/>
      <c r="G310" s="11"/>
      <c r="H310" s="11"/>
      <c r="I310" s="26"/>
      <c r="J310" s="22" t="str">
        <f t="shared" si="5"/>
        <v/>
      </c>
      <c r="K310" s="27"/>
      <c r="L310" s="11"/>
    </row>
    <row r="311" spans="1:12" x14ac:dyDescent="0.2">
      <c r="A311" s="25"/>
      <c r="B311" s="11"/>
      <c r="C311" s="11"/>
      <c r="D311" s="11"/>
      <c r="E311" s="11"/>
      <c r="F311" s="11"/>
      <c r="G311" s="11"/>
      <c r="H311" s="11"/>
      <c r="I311" s="26"/>
      <c r="J311" s="22" t="str">
        <f t="shared" si="5"/>
        <v/>
      </c>
      <c r="K311" s="27"/>
      <c r="L311" s="11"/>
    </row>
    <row r="312" spans="1:12" x14ac:dyDescent="0.2">
      <c r="A312" s="25"/>
      <c r="B312" s="11"/>
      <c r="C312" s="11"/>
      <c r="D312" s="11"/>
      <c r="E312" s="11"/>
      <c r="F312" s="11"/>
      <c r="G312" s="11"/>
      <c r="H312" s="11"/>
      <c r="I312" s="26"/>
      <c r="J312" s="22" t="str">
        <f t="shared" si="5"/>
        <v/>
      </c>
      <c r="K312" s="27"/>
      <c r="L312" s="11"/>
    </row>
    <row r="313" spans="1:12" x14ac:dyDescent="0.2">
      <c r="A313" s="25"/>
      <c r="B313" s="11"/>
      <c r="C313" s="11"/>
      <c r="D313" s="11"/>
      <c r="E313" s="11"/>
      <c r="F313" s="11"/>
      <c r="G313" s="11"/>
      <c r="H313" s="11"/>
      <c r="I313" s="26"/>
      <c r="J313" s="22" t="str">
        <f t="shared" si="5"/>
        <v/>
      </c>
      <c r="K313" s="27"/>
      <c r="L313" s="11"/>
    </row>
    <row r="314" spans="1:12" x14ac:dyDescent="0.2">
      <c r="A314" s="25"/>
      <c r="B314" s="11"/>
      <c r="C314" s="11"/>
      <c r="D314" s="11"/>
      <c r="E314" s="11"/>
      <c r="F314" s="11"/>
      <c r="G314" s="11"/>
      <c r="H314" s="11"/>
      <c r="I314" s="26"/>
      <c r="J314" s="22" t="str">
        <f t="shared" si="5"/>
        <v/>
      </c>
      <c r="K314" s="27"/>
      <c r="L314" s="11"/>
    </row>
    <row r="315" spans="1:12" x14ac:dyDescent="0.2">
      <c r="A315" s="25"/>
      <c r="B315" s="11"/>
      <c r="C315" s="11"/>
      <c r="D315" s="11"/>
      <c r="E315" s="11"/>
      <c r="F315" s="11"/>
      <c r="G315" s="11"/>
      <c r="H315" s="11"/>
      <c r="I315" s="26"/>
      <c r="J315" s="22" t="str">
        <f t="shared" si="5"/>
        <v/>
      </c>
      <c r="K315" s="27"/>
      <c r="L315" s="11"/>
    </row>
    <row r="316" spans="1:12" x14ac:dyDescent="0.2">
      <c r="A316" s="25"/>
      <c r="B316" s="11"/>
      <c r="C316" s="11"/>
      <c r="D316" s="11"/>
      <c r="E316" s="11"/>
      <c r="F316" s="11"/>
      <c r="G316" s="11"/>
      <c r="H316" s="11"/>
      <c r="I316" s="26"/>
      <c r="J316" s="22" t="str">
        <f t="shared" si="5"/>
        <v/>
      </c>
      <c r="K316" s="27"/>
      <c r="L316" s="11"/>
    </row>
    <row r="317" spans="1:12" x14ac:dyDescent="0.2">
      <c r="A317" s="25"/>
      <c r="B317" s="11"/>
      <c r="C317" s="11"/>
      <c r="D317" s="11"/>
      <c r="E317" s="11"/>
      <c r="F317" s="11"/>
      <c r="G317" s="11"/>
      <c r="H317" s="11"/>
      <c r="I317" s="26"/>
      <c r="J317" s="22" t="str">
        <f t="shared" si="5"/>
        <v/>
      </c>
      <c r="K317" s="27"/>
      <c r="L317" s="11"/>
    </row>
    <row r="318" spans="1:12" x14ac:dyDescent="0.2">
      <c r="A318" s="25"/>
      <c r="B318" s="11"/>
      <c r="C318" s="11"/>
      <c r="D318" s="11"/>
      <c r="E318" s="11"/>
      <c r="F318" s="11"/>
      <c r="G318" s="11"/>
      <c r="H318" s="11"/>
      <c r="I318" s="26"/>
      <c r="J318" s="22" t="str">
        <f t="shared" si="5"/>
        <v/>
      </c>
      <c r="K318" s="27"/>
      <c r="L318" s="11"/>
    </row>
    <row r="319" spans="1:12" x14ac:dyDescent="0.2">
      <c r="A319" s="25"/>
      <c r="B319" s="11"/>
      <c r="C319" s="11"/>
      <c r="D319" s="11"/>
      <c r="E319" s="11"/>
      <c r="F319" s="11"/>
      <c r="G319" s="11"/>
      <c r="H319" s="11"/>
      <c r="I319" s="26"/>
      <c r="J319" s="22" t="str">
        <f t="shared" si="5"/>
        <v/>
      </c>
      <c r="K319" s="27"/>
      <c r="L319" s="11"/>
    </row>
    <row r="320" spans="1:12" x14ac:dyDescent="0.2">
      <c r="A320" s="25"/>
      <c r="B320" s="11"/>
      <c r="C320" s="11"/>
      <c r="D320" s="11"/>
      <c r="E320" s="11"/>
      <c r="F320" s="11"/>
      <c r="G320" s="11"/>
      <c r="H320" s="11"/>
      <c r="I320" s="26"/>
      <c r="J320" s="22" t="str">
        <f t="shared" si="5"/>
        <v/>
      </c>
      <c r="K320" s="27"/>
      <c r="L320" s="11"/>
    </row>
    <row r="321" spans="1:12" x14ac:dyDescent="0.2">
      <c r="A321" s="25"/>
      <c r="B321" s="11"/>
      <c r="C321" s="11"/>
      <c r="D321" s="11"/>
      <c r="E321" s="11"/>
      <c r="F321" s="11"/>
      <c r="G321" s="11"/>
      <c r="H321" s="11"/>
      <c r="I321" s="26"/>
      <c r="J321" s="22" t="str">
        <f t="shared" si="5"/>
        <v/>
      </c>
      <c r="K321" s="27"/>
      <c r="L321" s="11"/>
    </row>
    <row r="322" spans="1:12" x14ac:dyDescent="0.2">
      <c r="A322" s="25"/>
      <c r="B322" s="11"/>
      <c r="C322" s="11"/>
      <c r="D322" s="11"/>
      <c r="E322" s="11"/>
      <c r="F322" s="11"/>
      <c r="G322" s="11"/>
      <c r="H322" s="11"/>
      <c r="I322" s="26"/>
      <c r="J322" s="22" t="str">
        <f t="shared" si="5"/>
        <v/>
      </c>
      <c r="K322" s="27"/>
      <c r="L322" s="11"/>
    </row>
    <row r="323" spans="1:12" x14ac:dyDescent="0.2">
      <c r="A323" s="25"/>
      <c r="B323" s="11"/>
      <c r="C323" s="11"/>
      <c r="D323" s="11"/>
      <c r="E323" s="11"/>
      <c r="F323" s="11"/>
      <c r="G323" s="11"/>
      <c r="H323" s="11"/>
      <c r="I323" s="26"/>
      <c r="J323" s="22" t="str">
        <f t="shared" si="5"/>
        <v/>
      </c>
      <c r="K323" s="27"/>
      <c r="L323" s="11"/>
    </row>
    <row r="324" spans="1:12" x14ac:dyDescent="0.2">
      <c r="A324" s="25"/>
      <c r="B324" s="11"/>
      <c r="C324" s="11"/>
      <c r="D324" s="11"/>
      <c r="E324" s="11"/>
      <c r="F324" s="11"/>
      <c r="G324" s="11"/>
      <c r="H324" s="11"/>
      <c r="I324" s="26"/>
      <c r="J324" s="22" t="str">
        <f t="shared" si="5"/>
        <v/>
      </c>
      <c r="K324" s="27"/>
      <c r="L324" s="11"/>
    </row>
    <row r="325" spans="1:12" x14ac:dyDescent="0.2">
      <c r="A325" s="25"/>
      <c r="B325" s="11"/>
      <c r="C325" s="11"/>
      <c r="D325" s="11"/>
      <c r="E325" s="11"/>
      <c r="F325" s="11"/>
      <c r="G325" s="11"/>
      <c r="H325" s="11"/>
      <c r="I325" s="26"/>
      <c r="J325" s="22" t="str">
        <f t="shared" si="5"/>
        <v/>
      </c>
      <c r="K325" s="27"/>
      <c r="L325" s="11"/>
    </row>
    <row r="326" spans="1:12" x14ac:dyDescent="0.2">
      <c r="A326" s="25"/>
      <c r="B326" s="11"/>
      <c r="C326" s="11"/>
      <c r="D326" s="11"/>
      <c r="E326" s="11"/>
      <c r="F326" s="11"/>
      <c r="G326" s="11"/>
      <c r="H326" s="11"/>
      <c r="I326" s="26"/>
      <c r="J326" s="22" t="str">
        <f t="shared" si="5"/>
        <v/>
      </c>
      <c r="K326" s="27"/>
      <c r="L326" s="11"/>
    </row>
    <row r="327" spans="1:12" x14ac:dyDescent="0.2">
      <c r="A327" s="25"/>
      <c r="B327" s="11"/>
      <c r="C327" s="11"/>
      <c r="D327" s="11"/>
      <c r="E327" s="11"/>
      <c r="F327" s="11"/>
      <c r="G327" s="11"/>
      <c r="H327" s="11"/>
      <c r="I327" s="26"/>
      <c r="J327" s="22" t="str">
        <f t="shared" si="5"/>
        <v/>
      </c>
      <c r="K327" s="27"/>
      <c r="L327" s="11"/>
    </row>
    <row r="328" spans="1:12" x14ac:dyDescent="0.2">
      <c r="A328" s="25"/>
      <c r="B328" s="11"/>
      <c r="C328" s="11"/>
      <c r="D328" s="11"/>
      <c r="E328" s="11"/>
      <c r="F328" s="11"/>
      <c r="G328" s="11"/>
      <c r="H328" s="11"/>
      <c r="I328" s="26"/>
      <c r="J328" s="22" t="str">
        <f t="shared" si="5"/>
        <v/>
      </c>
      <c r="K328" s="27"/>
      <c r="L328" s="11"/>
    </row>
    <row r="329" spans="1:12" x14ac:dyDescent="0.2">
      <c r="A329" s="25"/>
      <c r="B329" s="11"/>
      <c r="C329" s="11"/>
      <c r="D329" s="11"/>
      <c r="E329" s="11"/>
      <c r="F329" s="11"/>
      <c r="G329" s="11"/>
      <c r="H329" s="11"/>
      <c r="I329" s="26"/>
      <c r="J329" s="22" t="str">
        <f t="shared" si="5"/>
        <v/>
      </c>
      <c r="K329" s="27"/>
      <c r="L329" s="11"/>
    </row>
    <row r="330" spans="1:12" x14ac:dyDescent="0.2">
      <c r="A330" s="25"/>
      <c r="B330" s="11"/>
      <c r="C330" s="11"/>
      <c r="D330" s="11"/>
      <c r="E330" s="11"/>
      <c r="F330" s="11"/>
      <c r="G330" s="11"/>
      <c r="H330" s="11"/>
      <c r="I330" s="26"/>
      <c r="J330" s="22" t="str">
        <f t="shared" si="5"/>
        <v/>
      </c>
      <c r="K330" s="27"/>
      <c r="L330" s="11"/>
    </row>
    <row r="331" spans="1:12" x14ac:dyDescent="0.2">
      <c r="A331" s="25"/>
      <c r="B331" s="11"/>
      <c r="C331" s="11"/>
      <c r="D331" s="11"/>
      <c r="E331" s="11"/>
      <c r="F331" s="11"/>
      <c r="G331" s="11"/>
      <c r="H331" s="11"/>
      <c r="I331" s="26"/>
      <c r="J331" s="22" t="str">
        <f t="shared" si="5"/>
        <v/>
      </c>
      <c r="K331" s="27"/>
      <c r="L331" s="11"/>
    </row>
    <row r="332" spans="1:12" x14ac:dyDescent="0.2">
      <c r="A332" s="25"/>
      <c r="B332" s="11"/>
      <c r="C332" s="11"/>
      <c r="D332" s="11"/>
      <c r="E332" s="11"/>
      <c r="F332" s="11"/>
      <c r="G332" s="11"/>
      <c r="H332" s="11"/>
      <c r="I332" s="26"/>
      <c r="J332" s="22" t="str">
        <f t="shared" si="5"/>
        <v/>
      </c>
      <c r="K332" s="27"/>
      <c r="L332" s="11"/>
    </row>
    <row r="333" spans="1:12" x14ac:dyDescent="0.2">
      <c r="A333" s="25"/>
      <c r="B333" s="11"/>
      <c r="C333" s="11"/>
      <c r="D333" s="11"/>
      <c r="E333" s="11"/>
      <c r="F333" s="11"/>
      <c r="G333" s="11"/>
      <c r="H333" s="11"/>
      <c r="I333" s="26"/>
      <c r="J333" s="22" t="str">
        <f t="shared" si="5"/>
        <v/>
      </c>
      <c r="K333" s="27"/>
      <c r="L333" s="11"/>
    </row>
    <row r="334" spans="1:12" x14ac:dyDescent="0.2">
      <c r="A334" s="25"/>
      <c r="B334" s="11"/>
      <c r="C334" s="11"/>
      <c r="D334" s="11"/>
      <c r="E334" s="11"/>
      <c r="F334" s="11"/>
      <c r="G334" s="11"/>
      <c r="H334" s="11"/>
      <c r="I334" s="26"/>
      <c r="J334" s="22" t="str">
        <f t="shared" si="5"/>
        <v/>
      </c>
      <c r="K334" s="27"/>
      <c r="L334" s="11"/>
    </row>
    <row r="335" spans="1:12" x14ac:dyDescent="0.2">
      <c r="A335" s="25"/>
      <c r="B335" s="11"/>
      <c r="C335" s="11"/>
      <c r="D335" s="11"/>
      <c r="E335" s="11"/>
      <c r="F335" s="11"/>
      <c r="G335" s="11"/>
      <c r="H335" s="11"/>
      <c r="I335" s="26"/>
      <c r="J335" s="22" t="str">
        <f t="shared" si="5"/>
        <v/>
      </c>
      <c r="K335" s="27"/>
      <c r="L335" s="11"/>
    </row>
    <row r="336" spans="1:12" x14ac:dyDescent="0.2">
      <c r="A336" s="25"/>
      <c r="B336" s="11"/>
      <c r="C336" s="11"/>
      <c r="D336" s="11"/>
      <c r="E336" s="11"/>
      <c r="F336" s="11"/>
      <c r="G336" s="11"/>
      <c r="H336" s="11"/>
      <c r="I336" s="26"/>
      <c r="J336" s="22" t="str">
        <f t="shared" si="5"/>
        <v/>
      </c>
      <c r="K336" s="27"/>
      <c r="L336" s="11"/>
    </row>
    <row r="337" spans="1:12" x14ac:dyDescent="0.2">
      <c r="A337" s="25"/>
      <c r="B337" s="11"/>
      <c r="C337" s="11"/>
      <c r="D337" s="11"/>
      <c r="E337" s="11"/>
      <c r="F337" s="11"/>
      <c r="G337" s="11"/>
      <c r="H337" s="11"/>
      <c r="I337" s="26"/>
      <c r="J337" s="22" t="str">
        <f t="shared" si="5"/>
        <v/>
      </c>
      <c r="K337" s="27"/>
      <c r="L337" s="11"/>
    </row>
    <row r="338" spans="1:12" x14ac:dyDescent="0.2">
      <c r="A338" s="25"/>
      <c r="B338" s="11"/>
      <c r="C338" s="11"/>
      <c r="D338" s="11"/>
      <c r="E338" s="11"/>
      <c r="F338" s="11"/>
      <c r="G338" s="11"/>
      <c r="H338" s="11"/>
      <c r="I338" s="26"/>
      <c r="J338" s="22" t="str">
        <f t="shared" si="5"/>
        <v/>
      </c>
      <c r="K338" s="27"/>
      <c r="L338" s="11"/>
    </row>
    <row r="339" spans="1:12" x14ac:dyDescent="0.2">
      <c r="A339" s="25"/>
      <c r="B339" s="11"/>
      <c r="C339" s="11"/>
      <c r="D339" s="11"/>
      <c r="E339" s="11"/>
      <c r="F339" s="11"/>
      <c r="G339" s="11"/>
      <c r="H339" s="11"/>
      <c r="I339" s="26"/>
      <c r="J339" s="22" t="str">
        <f t="shared" si="5"/>
        <v/>
      </c>
      <c r="K339" s="27"/>
      <c r="L339" s="11"/>
    </row>
    <row r="340" spans="1:12" x14ac:dyDescent="0.2">
      <c r="A340" s="25"/>
      <c r="B340" s="11"/>
      <c r="C340" s="11"/>
      <c r="D340" s="11"/>
      <c r="E340" s="11"/>
      <c r="F340" s="11"/>
      <c r="G340" s="11"/>
      <c r="H340" s="11"/>
      <c r="I340" s="26"/>
      <c r="J340" s="22" t="str">
        <f t="shared" si="5"/>
        <v/>
      </c>
      <c r="K340" s="27"/>
      <c r="L340" s="11"/>
    </row>
    <row r="341" spans="1:12" x14ac:dyDescent="0.2">
      <c r="A341" s="25"/>
      <c r="B341" s="11"/>
      <c r="C341" s="11"/>
      <c r="D341" s="11"/>
      <c r="E341" s="11"/>
      <c r="F341" s="11"/>
      <c r="G341" s="11"/>
      <c r="H341" s="11"/>
      <c r="I341" s="26"/>
      <c r="J341" s="22" t="str">
        <f t="shared" si="5"/>
        <v/>
      </c>
      <c r="K341" s="27"/>
      <c r="L341" s="11"/>
    </row>
    <row r="342" spans="1:12" x14ac:dyDescent="0.2">
      <c r="A342" s="25"/>
      <c r="B342" s="11"/>
      <c r="C342" s="11"/>
      <c r="D342" s="11"/>
      <c r="E342" s="11"/>
      <c r="F342" s="11"/>
      <c r="G342" s="11"/>
      <c r="H342" s="11"/>
      <c r="I342" s="26"/>
      <c r="J342" s="22" t="str">
        <f t="shared" si="5"/>
        <v/>
      </c>
      <c r="K342" s="27"/>
      <c r="L342" s="11"/>
    </row>
    <row r="343" spans="1:12" x14ac:dyDescent="0.2">
      <c r="A343" s="25"/>
      <c r="B343" s="11"/>
      <c r="C343" s="11"/>
      <c r="D343" s="11"/>
      <c r="E343" s="11"/>
      <c r="F343" s="11"/>
      <c r="G343" s="11"/>
      <c r="H343" s="11"/>
      <c r="I343" s="26"/>
      <c r="J343" s="22" t="str">
        <f t="shared" si="5"/>
        <v/>
      </c>
      <c r="K343" s="27"/>
      <c r="L343" s="11"/>
    </row>
    <row r="344" spans="1:12" x14ac:dyDescent="0.2">
      <c r="A344" s="25"/>
      <c r="B344" s="11"/>
      <c r="C344" s="11"/>
      <c r="D344" s="11"/>
      <c r="E344" s="11"/>
      <c r="F344" s="11"/>
      <c r="G344" s="11"/>
      <c r="H344" s="11"/>
      <c r="I344" s="26"/>
      <c r="J344" s="22" t="str">
        <f t="shared" si="5"/>
        <v/>
      </c>
      <c r="K344" s="27"/>
      <c r="L344" s="11"/>
    </row>
    <row r="345" spans="1:12" x14ac:dyDescent="0.2">
      <c r="A345" s="25"/>
      <c r="B345" s="11"/>
      <c r="C345" s="11"/>
      <c r="D345" s="11"/>
      <c r="E345" s="11"/>
      <c r="F345" s="11"/>
      <c r="G345" s="11"/>
      <c r="H345" s="11"/>
      <c r="I345" s="26"/>
      <c r="J345" s="22" t="str">
        <f t="shared" si="5"/>
        <v/>
      </c>
      <c r="K345" s="27"/>
      <c r="L345" s="11"/>
    </row>
    <row r="346" spans="1:12" x14ac:dyDescent="0.2">
      <c r="A346" s="25"/>
      <c r="B346" s="11"/>
      <c r="C346" s="11"/>
      <c r="D346" s="11"/>
      <c r="E346" s="11"/>
      <c r="F346" s="11"/>
      <c r="G346" s="11"/>
      <c r="H346" s="11"/>
      <c r="I346" s="26"/>
      <c r="J346" s="22" t="str">
        <f t="shared" si="5"/>
        <v/>
      </c>
      <c r="K346" s="27"/>
      <c r="L346" s="11"/>
    </row>
    <row r="347" spans="1:12" x14ac:dyDescent="0.2">
      <c r="A347" s="25"/>
      <c r="B347" s="11"/>
      <c r="C347" s="11"/>
      <c r="D347" s="11"/>
      <c r="E347" s="11"/>
      <c r="F347" s="11"/>
      <c r="G347" s="11"/>
      <c r="H347" s="11"/>
      <c r="I347" s="26"/>
      <c r="J347" s="22" t="str">
        <f t="shared" si="5"/>
        <v/>
      </c>
      <c r="K347" s="27"/>
      <c r="L347" s="11"/>
    </row>
    <row r="348" spans="1:12" x14ac:dyDescent="0.2">
      <c r="A348" s="25"/>
      <c r="B348" s="11"/>
      <c r="C348" s="11"/>
      <c r="D348" s="11"/>
      <c r="E348" s="11"/>
      <c r="F348" s="11"/>
      <c r="G348" s="11"/>
      <c r="H348" s="11"/>
      <c r="I348" s="26"/>
      <c r="J348" s="22" t="str">
        <f t="shared" si="5"/>
        <v/>
      </c>
      <c r="K348" s="27"/>
      <c r="L348" s="11"/>
    </row>
    <row r="349" spans="1:12" x14ac:dyDescent="0.2">
      <c r="A349" s="25"/>
      <c r="B349" s="11"/>
      <c r="C349" s="11"/>
      <c r="D349" s="11"/>
      <c r="E349" s="11"/>
      <c r="F349" s="11"/>
      <c r="G349" s="11"/>
      <c r="H349" s="11"/>
      <c r="I349" s="26"/>
      <c r="J349" s="22" t="str">
        <f t="shared" si="5"/>
        <v/>
      </c>
      <c r="K349" s="27"/>
      <c r="L349" s="11"/>
    </row>
    <row r="350" spans="1:12" x14ac:dyDescent="0.2">
      <c r="A350" s="25"/>
      <c r="B350" s="11"/>
      <c r="C350" s="11"/>
      <c r="D350" s="11"/>
      <c r="E350" s="11"/>
      <c r="F350" s="11"/>
      <c r="G350" s="11"/>
      <c r="H350" s="11"/>
      <c r="I350" s="26"/>
      <c r="J350" s="22" t="str">
        <f t="shared" si="5"/>
        <v/>
      </c>
      <c r="K350" s="27"/>
      <c r="L350" s="11"/>
    </row>
    <row r="351" spans="1:12" x14ac:dyDescent="0.2">
      <c r="A351" s="25"/>
      <c r="B351" s="11"/>
      <c r="C351" s="11"/>
      <c r="D351" s="11"/>
      <c r="E351" s="11"/>
      <c r="F351" s="11"/>
      <c r="G351" s="11"/>
      <c r="H351" s="11"/>
      <c r="I351" s="26"/>
      <c r="J351" s="22" t="str">
        <f t="shared" si="5"/>
        <v/>
      </c>
      <c r="K351" s="27"/>
      <c r="L351" s="11"/>
    </row>
    <row r="353" spans="7:10" x14ac:dyDescent="0.2">
      <c r="G353" s="28" t="s">
        <v>528</v>
      </c>
      <c r="H353" s="29">
        <f>SUM(H5:H351)</f>
        <v>120</v>
      </c>
      <c r="J353" s="30">
        <f>SUM(J5:J351)</f>
        <v>965800000</v>
      </c>
    </row>
  </sheetData>
  <autoFilter ref="A4:L351" xr:uid="{00000000-0009-0000-0000-000003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Không hợp lệ" error="Chọn từ danh sách." xr:uid="{00000000-0002-0000-0300-000000000000}">
          <x14:formula1>
            <xm:f>'DM. Mã hàng'!$A$5:$A$158</xm:f>
          </x14:formula1>
          <xm:sqref>F5:F351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6"/>
  <sheetViews>
    <sheetView showGridLines="0" zoomScaleNormal="10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3" width="13" customWidth="1"/>
    <col min="4" max="4" width="34" customWidth="1"/>
    <col min="5" max="5" width="52" customWidth="1"/>
    <col min="6" max="6" width="10" customWidth="1"/>
    <col min="7" max="7" width="20" customWidth="1"/>
    <col min="8" max="8" width="50" customWidth="1"/>
    <col min="9" max="9" width="19" customWidth="1"/>
    <col min="10" max="10" width="18" customWidth="1"/>
    <col min="11" max="11" width="24" customWidth="1"/>
  </cols>
  <sheetData>
    <row r="1" spans="1:11" ht="18" customHeight="1" x14ac:dyDescent="0.2">
      <c r="A1" s="1" t="s">
        <v>529</v>
      </c>
    </row>
    <row r="2" spans="1:11" x14ac:dyDescent="0.2">
      <c r="A2" s="2" t="s">
        <v>530</v>
      </c>
    </row>
    <row r="4" spans="1:11" ht="36" customHeight="1" x14ac:dyDescent="0.2">
      <c r="A4" s="10" t="s">
        <v>531</v>
      </c>
      <c r="B4" s="10" t="s">
        <v>532</v>
      </c>
      <c r="C4" s="10" t="s">
        <v>429</v>
      </c>
      <c r="D4" s="10" t="s">
        <v>533</v>
      </c>
      <c r="E4" s="10" t="s">
        <v>534</v>
      </c>
      <c r="F4" s="10" t="s">
        <v>535</v>
      </c>
      <c r="G4" s="10" t="s">
        <v>536</v>
      </c>
      <c r="H4" s="10" t="s">
        <v>537</v>
      </c>
      <c r="I4" s="10" t="s">
        <v>538</v>
      </c>
      <c r="J4" s="10" t="s">
        <v>539</v>
      </c>
      <c r="K4" s="10" t="s">
        <v>437</v>
      </c>
    </row>
    <row r="5" spans="1:11" x14ac:dyDescent="0.2">
      <c r="A5" s="31"/>
      <c r="B5" s="32"/>
      <c r="C5" s="32"/>
      <c r="D5" s="24"/>
      <c r="E5" s="24"/>
      <c r="F5" s="33"/>
      <c r="G5" s="22" t="str">
        <f>IFERROR(INDEX('1. NhapKho'!$I$5:$I$351,MATCH($C5,'1. NhapKho'!$C$5:$C$351,0)),"")</f>
        <v/>
      </c>
      <c r="H5" s="34" t="str">
        <f>IFERROR(INDEX('1. NhapKho'!$G$5:$G$351,MATCH($C5,'1. NhapKho'!$C$5:$C$351,0)),"")</f>
        <v/>
      </c>
      <c r="I5" s="35" t="str">
        <f t="shared" ref="I5:I68" si="0">IF(OR($C5="",$F5=""),"",$F5*$G5)</f>
        <v/>
      </c>
      <c r="J5" s="36" t="str">
        <f>IFERROR(INDEX('1. NhapKho'!$F$5:$F$351,MATCH($C5,'1. NhapKho'!$C$5:$C$351,0)),"")</f>
        <v/>
      </c>
      <c r="K5" s="24"/>
    </row>
    <row r="6" spans="1:11" x14ac:dyDescent="0.2">
      <c r="A6" s="31"/>
      <c r="B6" s="32"/>
      <c r="C6" s="32"/>
      <c r="D6" s="24"/>
      <c r="E6" s="24"/>
      <c r="F6" s="33"/>
      <c r="G6" s="22" t="str">
        <f>IFERROR(INDEX('1. NhapKho'!$I$5:$I$351,MATCH($C6,'1. NhapKho'!$C$5:$C$351,0)),"")</f>
        <v/>
      </c>
      <c r="H6" s="34" t="str">
        <f>IFERROR(INDEX('1. NhapKho'!$G$5:$G$351,MATCH($C6,'1. NhapKho'!$C$5:$C$351,0)),"")</f>
        <v/>
      </c>
      <c r="I6" s="35" t="str">
        <f t="shared" si="0"/>
        <v/>
      </c>
      <c r="J6" s="36" t="str">
        <f>IFERROR(INDEX('1. NhapKho'!$F$5:$F$351,MATCH($C6,'1. NhapKho'!$C$5:$C$351,0)),"")</f>
        <v/>
      </c>
      <c r="K6" s="24"/>
    </row>
    <row r="7" spans="1:11" x14ac:dyDescent="0.2">
      <c r="A7" s="31"/>
      <c r="B7" s="32"/>
      <c r="C7" s="32"/>
      <c r="D7" s="24"/>
      <c r="E7" s="24"/>
      <c r="F7" s="33"/>
      <c r="G7" s="22" t="str">
        <f>IFERROR(INDEX('1. NhapKho'!$I$5:$I$351,MATCH($C7,'1. NhapKho'!$C$5:$C$351,0)),"")</f>
        <v/>
      </c>
      <c r="H7" s="34" t="str">
        <f>IFERROR(INDEX('1. NhapKho'!$G$5:$G$351,MATCH($C7,'1. NhapKho'!$C$5:$C$351,0)),"")</f>
        <v/>
      </c>
      <c r="I7" s="35" t="str">
        <f t="shared" si="0"/>
        <v/>
      </c>
      <c r="J7" s="36" t="str">
        <f>IFERROR(INDEX('1. NhapKho'!$F$5:$F$351,MATCH($C7,'1. NhapKho'!$C$5:$C$351,0)),"")</f>
        <v/>
      </c>
      <c r="K7" s="24"/>
    </row>
    <row r="8" spans="1:11" x14ac:dyDescent="0.2">
      <c r="A8" s="31"/>
      <c r="B8" s="32"/>
      <c r="C8" s="32"/>
      <c r="D8" s="24"/>
      <c r="E8" s="24"/>
      <c r="F8" s="33"/>
      <c r="G8" s="22" t="str">
        <f>IFERROR(INDEX('1. NhapKho'!$I$5:$I$351,MATCH($C8,'1. NhapKho'!$C$5:$C$351,0)),"")</f>
        <v/>
      </c>
      <c r="H8" s="34" t="str">
        <f>IFERROR(INDEX('1. NhapKho'!$G$5:$G$351,MATCH($C8,'1. NhapKho'!$C$5:$C$351,0)),"")</f>
        <v/>
      </c>
      <c r="I8" s="35" t="str">
        <f t="shared" si="0"/>
        <v/>
      </c>
      <c r="J8" s="36" t="str">
        <f>IFERROR(INDEX('1. NhapKho'!$F$5:$F$351,MATCH($C8,'1. NhapKho'!$C$5:$C$351,0)),"")</f>
        <v/>
      </c>
      <c r="K8" s="24"/>
    </row>
    <row r="9" spans="1:11" x14ac:dyDescent="0.2">
      <c r="A9" s="31"/>
      <c r="B9" s="32"/>
      <c r="C9" s="32"/>
      <c r="D9" s="24"/>
      <c r="E9" s="24"/>
      <c r="F9" s="33"/>
      <c r="G9" s="22" t="str">
        <f>IFERROR(INDEX('1. NhapKho'!$I$5:$I$351,MATCH($C9,'1. NhapKho'!$C$5:$C$351,0)),"")</f>
        <v/>
      </c>
      <c r="H9" s="34" t="str">
        <f>IFERROR(INDEX('1. NhapKho'!$G$5:$G$351,MATCH($C9,'1. NhapKho'!$C$5:$C$351,0)),"")</f>
        <v/>
      </c>
      <c r="I9" s="35" t="str">
        <f t="shared" si="0"/>
        <v/>
      </c>
      <c r="J9" s="36" t="str">
        <f>IFERROR(INDEX('1. NhapKho'!$F$5:$F$351,MATCH($C9,'1. NhapKho'!$C$5:$C$351,0)),"")</f>
        <v/>
      </c>
      <c r="K9" s="24"/>
    </row>
    <row r="10" spans="1:11" x14ac:dyDescent="0.2">
      <c r="A10" s="31"/>
      <c r="B10" s="32"/>
      <c r="C10" s="32"/>
      <c r="D10" s="24"/>
      <c r="E10" s="24"/>
      <c r="F10" s="33"/>
      <c r="G10" s="22" t="str">
        <f>IFERROR(INDEX('1. NhapKho'!$I$5:$I$351,MATCH($C10,'1. NhapKho'!$C$5:$C$351,0)),"")</f>
        <v/>
      </c>
      <c r="H10" s="34" t="str">
        <f>IFERROR(INDEX('1. NhapKho'!$G$5:$G$351,MATCH($C10,'1. NhapKho'!$C$5:$C$351,0)),"")</f>
        <v/>
      </c>
      <c r="I10" s="35" t="str">
        <f t="shared" si="0"/>
        <v/>
      </c>
      <c r="J10" s="36" t="str">
        <f>IFERROR(INDEX('1. NhapKho'!$F$5:$F$351,MATCH($C10,'1. NhapKho'!$C$5:$C$351,0)),"")</f>
        <v/>
      </c>
      <c r="K10" s="24"/>
    </row>
    <row r="11" spans="1:11" x14ac:dyDescent="0.2">
      <c r="A11" s="31"/>
      <c r="B11" s="32"/>
      <c r="C11" s="32"/>
      <c r="D11" s="24"/>
      <c r="E11" s="24"/>
      <c r="F11" s="33"/>
      <c r="G11" s="22" t="str">
        <f>IFERROR(INDEX('1. NhapKho'!$I$5:$I$351,MATCH($C11,'1. NhapKho'!$C$5:$C$351,0)),"")</f>
        <v/>
      </c>
      <c r="H11" s="34" t="str">
        <f>IFERROR(INDEX('1. NhapKho'!$G$5:$G$351,MATCH($C11,'1. NhapKho'!$C$5:$C$351,0)),"")</f>
        <v/>
      </c>
      <c r="I11" s="35" t="str">
        <f t="shared" si="0"/>
        <v/>
      </c>
      <c r="J11" s="36" t="str">
        <f>IFERROR(INDEX('1. NhapKho'!$F$5:$F$351,MATCH($C11,'1. NhapKho'!$C$5:$C$351,0)),"")</f>
        <v/>
      </c>
      <c r="K11" s="24"/>
    </row>
    <row r="12" spans="1:11" x14ac:dyDescent="0.2">
      <c r="A12" s="31"/>
      <c r="B12" s="32"/>
      <c r="C12" s="32"/>
      <c r="D12" s="24"/>
      <c r="E12" s="24"/>
      <c r="F12" s="33"/>
      <c r="G12" s="22" t="str">
        <f>IFERROR(INDEX('1. NhapKho'!$I$5:$I$351,MATCH($C12,'1. NhapKho'!$C$5:$C$351,0)),"")</f>
        <v/>
      </c>
      <c r="H12" s="34" t="str">
        <f>IFERROR(INDEX('1. NhapKho'!$G$5:$G$351,MATCH($C12,'1. NhapKho'!$C$5:$C$351,0)),"")</f>
        <v/>
      </c>
      <c r="I12" s="35" t="str">
        <f t="shared" si="0"/>
        <v/>
      </c>
      <c r="J12" s="36" t="str">
        <f>IFERROR(INDEX('1. NhapKho'!$F$5:$F$351,MATCH($C12,'1. NhapKho'!$C$5:$C$351,0)),"")</f>
        <v/>
      </c>
      <c r="K12" s="24"/>
    </row>
    <row r="13" spans="1:11" x14ac:dyDescent="0.2">
      <c r="A13" s="31"/>
      <c r="B13" s="32"/>
      <c r="C13" s="32"/>
      <c r="D13" s="24"/>
      <c r="E13" s="24"/>
      <c r="F13" s="33"/>
      <c r="G13" s="22" t="str">
        <f>IFERROR(INDEX('1. NhapKho'!$I$5:$I$351,MATCH($C13,'1. NhapKho'!$C$5:$C$351,0)),"")</f>
        <v/>
      </c>
      <c r="H13" s="34" t="str">
        <f>IFERROR(INDEX('1. NhapKho'!$G$5:$G$351,MATCH($C13,'1. NhapKho'!$C$5:$C$351,0)),"")</f>
        <v/>
      </c>
      <c r="I13" s="35" t="str">
        <f t="shared" si="0"/>
        <v/>
      </c>
      <c r="J13" s="36" t="str">
        <f>IFERROR(INDEX('1. NhapKho'!$F$5:$F$351,MATCH($C13,'1. NhapKho'!$C$5:$C$351,0)),"")</f>
        <v/>
      </c>
      <c r="K13" s="24"/>
    </row>
    <row r="14" spans="1:11" x14ac:dyDescent="0.2">
      <c r="A14" s="31"/>
      <c r="B14" s="32"/>
      <c r="C14" s="32"/>
      <c r="D14" s="24"/>
      <c r="E14" s="24"/>
      <c r="F14" s="33"/>
      <c r="G14" s="22" t="str">
        <f>IFERROR(INDEX('1. NhapKho'!$I$5:$I$351,MATCH($C14,'1. NhapKho'!$C$5:$C$351,0)),"")</f>
        <v/>
      </c>
      <c r="H14" s="34" t="str">
        <f>IFERROR(INDEX('1. NhapKho'!$G$5:$G$351,MATCH($C14,'1. NhapKho'!$C$5:$C$351,0)),"")</f>
        <v/>
      </c>
      <c r="I14" s="35" t="str">
        <f t="shared" si="0"/>
        <v/>
      </c>
      <c r="J14" s="36" t="str">
        <f>IFERROR(INDEX('1. NhapKho'!$F$5:$F$351,MATCH($C14,'1. NhapKho'!$C$5:$C$351,0)),"")</f>
        <v/>
      </c>
      <c r="K14" s="24"/>
    </row>
    <row r="15" spans="1:11" x14ac:dyDescent="0.2">
      <c r="A15" s="31"/>
      <c r="B15" s="32"/>
      <c r="C15" s="32"/>
      <c r="D15" s="24"/>
      <c r="E15" s="24"/>
      <c r="F15" s="33"/>
      <c r="G15" s="22" t="str">
        <f>IFERROR(INDEX('1. NhapKho'!$I$5:$I$351,MATCH($C15,'1. NhapKho'!$C$5:$C$351,0)),"")</f>
        <v/>
      </c>
      <c r="H15" s="34" t="str">
        <f>IFERROR(INDEX('1. NhapKho'!$G$5:$G$351,MATCH($C15,'1. NhapKho'!$C$5:$C$351,0)),"")</f>
        <v/>
      </c>
      <c r="I15" s="35" t="str">
        <f t="shared" si="0"/>
        <v/>
      </c>
      <c r="J15" s="36" t="str">
        <f>IFERROR(INDEX('1. NhapKho'!$F$5:$F$351,MATCH($C15,'1. NhapKho'!$C$5:$C$351,0)),"")</f>
        <v/>
      </c>
      <c r="K15" s="24"/>
    </row>
    <row r="16" spans="1:11" x14ac:dyDescent="0.2">
      <c r="A16" s="31"/>
      <c r="B16" s="32"/>
      <c r="C16" s="32"/>
      <c r="D16" s="24"/>
      <c r="E16" s="24"/>
      <c r="F16" s="33"/>
      <c r="G16" s="22" t="str">
        <f>IFERROR(INDEX('1. NhapKho'!$I$5:$I$351,MATCH($C16,'1. NhapKho'!$C$5:$C$351,0)),"")</f>
        <v/>
      </c>
      <c r="H16" s="34" t="str">
        <f>IFERROR(INDEX('1. NhapKho'!$G$5:$G$351,MATCH($C16,'1. NhapKho'!$C$5:$C$351,0)),"")</f>
        <v/>
      </c>
      <c r="I16" s="35" t="str">
        <f t="shared" si="0"/>
        <v/>
      </c>
      <c r="J16" s="36" t="str">
        <f>IFERROR(INDEX('1. NhapKho'!$F$5:$F$351,MATCH($C16,'1. NhapKho'!$C$5:$C$351,0)),"")</f>
        <v/>
      </c>
      <c r="K16" s="24"/>
    </row>
    <row r="17" spans="1:11" x14ac:dyDescent="0.2">
      <c r="A17" s="31"/>
      <c r="B17" s="32"/>
      <c r="C17" s="32"/>
      <c r="D17" s="24"/>
      <c r="E17" s="24"/>
      <c r="F17" s="33"/>
      <c r="G17" s="22" t="str">
        <f>IFERROR(INDEX('1. NhapKho'!$I$5:$I$351,MATCH($C17,'1. NhapKho'!$C$5:$C$351,0)),"")</f>
        <v/>
      </c>
      <c r="H17" s="34" t="str">
        <f>IFERROR(INDEX('1. NhapKho'!$G$5:$G$351,MATCH($C17,'1. NhapKho'!$C$5:$C$351,0)),"")</f>
        <v/>
      </c>
      <c r="I17" s="35" t="str">
        <f t="shared" si="0"/>
        <v/>
      </c>
      <c r="J17" s="36" t="str">
        <f>IFERROR(INDEX('1. NhapKho'!$F$5:$F$351,MATCH($C17,'1. NhapKho'!$C$5:$C$351,0)),"")</f>
        <v/>
      </c>
      <c r="K17" s="24"/>
    </row>
    <row r="18" spans="1:11" x14ac:dyDescent="0.2">
      <c r="A18" s="31"/>
      <c r="B18" s="32"/>
      <c r="C18" s="32"/>
      <c r="D18" s="24"/>
      <c r="E18" s="24"/>
      <c r="F18" s="33"/>
      <c r="G18" s="22" t="str">
        <f>IFERROR(INDEX('1. NhapKho'!$I$5:$I$351,MATCH($C18,'1. NhapKho'!$C$5:$C$351,0)),"")</f>
        <v/>
      </c>
      <c r="H18" s="34" t="str">
        <f>IFERROR(INDEX('1. NhapKho'!$G$5:$G$351,MATCH($C18,'1. NhapKho'!$C$5:$C$351,0)),"")</f>
        <v/>
      </c>
      <c r="I18" s="35" t="str">
        <f t="shared" si="0"/>
        <v/>
      </c>
      <c r="J18" s="36" t="str">
        <f>IFERROR(INDEX('1. NhapKho'!$F$5:$F$351,MATCH($C18,'1. NhapKho'!$C$5:$C$351,0)),"")</f>
        <v/>
      </c>
      <c r="K18" s="24"/>
    </row>
    <row r="19" spans="1:11" x14ac:dyDescent="0.2">
      <c r="A19" s="31"/>
      <c r="B19" s="32"/>
      <c r="C19" s="32"/>
      <c r="D19" s="24"/>
      <c r="E19" s="24"/>
      <c r="F19" s="33"/>
      <c r="G19" s="22" t="str">
        <f>IFERROR(INDEX('1. NhapKho'!$I$5:$I$351,MATCH($C19,'1. NhapKho'!$C$5:$C$351,0)),"")</f>
        <v/>
      </c>
      <c r="H19" s="34" t="str">
        <f>IFERROR(INDEX('1. NhapKho'!$G$5:$G$351,MATCH($C19,'1. NhapKho'!$C$5:$C$351,0)),"")</f>
        <v/>
      </c>
      <c r="I19" s="35" t="str">
        <f t="shared" si="0"/>
        <v/>
      </c>
      <c r="J19" s="36" t="str">
        <f>IFERROR(INDEX('1. NhapKho'!$F$5:$F$351,MATCH($C19,'1. NhapKho'!$C$5:$C$351,0)),"")</f>
        <v/>
      </c>
      <c r="K19" s="24"/>
    </row>
    <row r="20" spans="1:11" x14ac:dyDescent="0.2">
      <c r="A20" s="31"/>
      <c r="B20" s="32"/>
      <c r="C20" s="32"/>
      <c r="D20" s="24"/>
      <c r="E20" s="24"/>
      <c r="F20" s="33"/>
      <c r="G20" s="22" t="str">
        <f>IFERROR(INDEX('1. NhapKho'!$I$5:$I$351,MATCH($C20,'1. NhapKho'!$C$5:$C$351,0)),"")</f>
        <v/>
      </c>
      <c r="H20" s="34" t="str">
        <f>IFERROR(INDEX('1. NhapKho'!$G$5:$G$351,MATCH($C20,'1. NhapKho'!$C$5:$C$351,0)),"")</f>
        <v/>
      </c>
      <c r="I20" s="35" t="str">
        <f t="shared" si="0"/>
        <v/>
      </c>
      <c r="J20" s="36" t="str">
        <f>IFERROR(INDEX('1. NhapKho'!$F$5:$F$351,MATCH($C20,'1. NhapKho'!$C$5:$C$351,0)),"")</f>
        <v/>
      </c>
      <c r="K20" s="24"/>
    </row>
    <row r="21" spans="1:11" x14ac:dyDescent="0.2">
      <c r="A21" s="31"/>
      <c r="B21" s="32"/>
      <c r="C21" s="32"/>
      <c r="D21" s="24"/>
      <c r="E21" s="24"/>
      <c r="F21" s="33"/>
      <c r="G21" s="22" t="str">
        <f>IFERROR(INDEX('1. NhapKho'!$I$5:$I$351,MATCH($C21,'1. NhapKho'!$C$5:$C$351,0)),"")</f>
        <v/>
      </c>
      <c r="H21" s="34" t="str">
        <f>IFERROR(INDEX('1. NhapKho'!$G$5:$G$351,MATCH($C21,'1. NhapKho'!$C$5:$C$351,0)),"")</f>
        <v/>
      </c>
      <c r="I21" s="35" t="str">
        <f t="shared" si="0"/>
        <v/>
      </c>
      <c r="J21" s="36" t="str">
        <f>IFERROR(INDEX('1. NhapKho'!$F$5:$F$351,MATCH($C21,'1. NhapKho'!$C$5:$C$351,0)),"")</f>
        <v/>
      </c>
      <c r="K21" s="24"/>
    </row>
    <row r="22" spans="1:11" x14ac:dyDescent="0.2">
      <c r="A22" s="31"/>
      <c r="B22" s="32"/>
      <c r="C22" s="32"/>
      <c r="D22" s="24"/>
      <c r="E22" s="24"/>
      <c r="F22" s="33"/>
      <c r="G22" s="22" t="str">
        <f>IFERROR(INDEX('1. NhapKho'!$I$5:$I$351,MATCH($C22,'1. NhapKho'!$C$5:$C$351,0)),"")</f>
        <v/>
      </c>
      <c r="H22" s="34" t="str">
        <f>IFERROR(INDEX('1. NhapKho'!$G$5:$G$351,MATCH($C22,'1. NhapKho'!$C$5:$C$351,0)),"")</f>
        <v/>
      </c>
      <c r="I22" s="35" t="str">
        <f t="shared" si="0"/>
        <v/>
      </c>
      <c r="J22" s="36" t="str">
        <f>IFERROR(INDEX('1. NhapKho'!$F$5:$F$351,MATCH($C22,'1. NhapKho'!$C$5:$C$351,0)),"")</f>
        <v/>
      </c>
      <c r="K22" s="24"/>
    </row>
    <row r="23" spans="1:11" x14ac:dyDescent="0.2">
      <c r="A23" s="31"/>
      <c r="B23" s="32"/>
      <c r="C23" s="32"/>
      <c r="D23" s="24"/>
      <c r="E23" s="24"/>
      <c r="F23" s="33"/>
      <c r="G23" s="22" t="str">
        <f>IFERROR(INDEX('1. NhapKho'!$I$5:$I$351,MATCH($C23,'1. NhapKho'!$C$5:$C$351,0)),"")</f>
        <v/>
      </c>
      <c r="H23" s="34" t="str">
        <f>IFERROR(INDEX('1. NhapKho'!$G$5:$G$351,MATCH($C23,'1. NhapKho'!$C$5:$C$351,0)),"")</f>
        <v/>
      </c>
      <c r="I23" s="35" t="str">
        <f t="shared" si="0"/>
        <v/>
      </c>
      <c r="J23" s="36" t="str">
        <f>IFERROR(INDEX('1. NhapKho'!$F$5:$F$351,MATCH($C23,'1. NhapKho'!$C$5:$C$351,0)),"")</f>
        <v/>
      </c>
      <c r="K23" s="24"/>
    </row>
    <row r="24" spans="1:11" x14ac:dyDescent="0.2">
      <c r="A24" s="31"/>
      <c r="B24" s="32"/>
      <c r="C24" s="32"/>
      <c r="D24" s="24"/>
      <c r="E24" s="24"/>
      <c r="F24" s="33"/>
      <c r="G24" s="22" t="str">
        <f>IFERROR(INDEX('1. NhapKho'!$I$5:$I$351,MATCH($C24,'1. NhapKho'!$C$5:$C$351,0)),"")</f>
        <v/>
      </c>
      <c r="H24" s="34" t="str">
        <f>IFERROR(INDEX('1. NhapKho'!$G$5:$G$351,MATCH($C24,'1. NhapKho'!$C$5:$C$351,0)),"")</f>
        <v/>
      </c>
      <c r="I24" s="35" t="str">
        <f t="shared" si="0"/>
        <v/>
      </c>
      <c r="J24" s="36" t="str">
        <f>IFERROR(INDEX('1. NhapKho'!$F$5:$F$351,MATCH($C24,'1. NhapKho'!$C$5:$C$351,0)),"")</f>
        <v/>
      </c>
      <c r="K24" s="24"/>
    </row>
    <row r="25" spans="1:11" x14ac:dyDescent="0.2">
      <c r="A25" s="31"/>
      <c r="B25" s="32"/>
      <c r="C25" s="32"/>
      <c r="D25" s="24"/>
      <c r="E25" s="24"/>
      <c r="F25" s="33"/>
      <c r="G25" s="22" t="str">
        <f>IFERROR(INDEX('1. NhapKho'!$I$5:$I$351,MATCH($C25,'1. NhapKho'!$C$5:$C$351,0)),"")</f>
        <v/>
      </c>
      <c r="H25" s="34" t="str">
        <f>IFERROR(INDEX('1. NhapKho'!$G$5:$G$351,MATCH($C25,'1. NhapKho'!$C$5:$C$351,0)),"")</f>
        <v/>
      </c>
      <c r="I25" s="35" t="str">
        <f t="shared" si="0"/>
        <v/>
      </c>
      <c r="J25" s="36" t="str">
        <f>IFERROR(INDEX('1. NhapKho'!$F$5:$F$351,MATCH($C25,'1. NhapKho'!$C$5:$C$351,0)),"")</f>
        <v/>
      </c>
      <c r="K25" s="24"/>
    </row>
    <row r="26" spans="1:11" x14ac:dyDescent="0.2">
      <c r="A26" s="31"/>
      <c r="B26" s="32"/>
      <c r="C26" s="32"/>
      <c r="D26" s="24"/>
      <c r="E26" s="24"/>
      <c r="F26" s="33"/>
      <c r="G26" s="22" t="str">
        <f>IFERROR(INDEX('1. NhapKho'!$I$5:$I$351,MATCH($C26,'1. NhapKho'!$C$5:$C$351,0)),"")</f>
        <v/>
      </c>
      <c r="H26" s="34" t="str">
        <f>IFERROR(INDEX('1. NhapKho'!$G$5:$G$351,MATCH($C26,'1. NhapKho'!$C$5:$C$351,0)),"")</f>
        <v/>
      </c>
      <c r="I26" s="35" t="str">
        <f t="shared" si="0"/>
        <v/>
      </c>
      <c r="J26" s="36" t="str">
        <f>IFERROR(INDEX('1. NhapKho'!$F$5:$F$351,MATCH($C26,'1. NhapKho'!$C$5:$C$351,0)),"")</f>
        <v/>
      </c>
      <c r="K26" s="24"/>
    </row>
    <row r="27" spans="1:11" x14ac:dyDescent="0.2">
      <c r="A27" s="31"/>
      <c r="B27" s="32"/>
      <c r="C27" s="32"/>
      <c r="D27" s="24"/>
      <c r="E27" s="24"/>
      <c r="F27" s="33"/>
      <c r="G27" s="22" t="str">
        <f>IFERROR(INDEX('1. NhapKho'!$I$5:$I$351,MATCH($C27,'1. NhapKho'!$C$5:$C$351,0)),"")</f>
        <v/>
      </c>
      <c r="H27" s="34" t="str">
        <f>IFERROR(INDEX('1. NhapKho'!$G$5:$G$351,MATCH($C27,'1. NhapKho'!$C$5:$C$351,0)),"")</f>
        <v/>
      </c>
      <c r="I27" s="35" t="str">
        <f t="shared" si="0"/>
        <v/>
      </c>
      <c r="J27" s="36" t="str">
        <f>IFERROR(INDEX('1. NhapKho'!$F$5:$F$351,MATCH($C27,'1. NhapKho'!$C$5:$C$351,0)),"")</f>
        <v/>
      </c>
      <c r="K27" s="24"/>
    </row>
    <row r="28" spans="1:11" x14ac:dyDescent="0.2">
      <c r="A28" s="31"/>
      <c r="B28" s="32"/>
      <c r="C28" s="32"/>
      <c r="D28" s="24"/>
      <c r="E28" s="24"/>
      <c r="F28" s="33"/>
      <c r="G28" s="22" t="str">
        <f>IFERROR(INDEX('1. NhapKho'!$I$5:$I$351,MATCH($C28,'1. NhapKho'!$C$5:$C$351,0)),"")</f>
        <v/>
      </c>
      <c r="H28" s="34" t="str">
        <f>IFERROR(INDEX('1. NhapKho'!$G$5:$G$351,MATCH($C28,'1. NhapKho'!$C$5:$C$351,0)),"")</f>
        <v/>
      </c>
      <c r="I28" s="35" t="str">
        <f t="shared" si="0"/>
        <v/>
      </c>
      <c r="J28" s="36" t="str">
        <f>IFERROR(INDEX('1. NhapKho'!$F$5:$F$351,MATCH($C28,'1. NhapKho'!$C$5:$C$351,0)),"")</f>
        <v/>
      </c>
      <c r="K28" s="24"/>
    </row>
    <row r="29" spans="1:11" x14ac:dyDescent="0.2">
      <c r="A29" s="31"/>
      <c r="B29" s="32"/>
      <c r="C29" s="32"/>
      <c r="D29" s="24"/>
      <c r="E29" s="24"/>
      <c r="F29" s="33"/>
      <c r="G29" s="22" t="str">
        <f>IFERROR(INDEX('1. NhapKho'!$I$5:$I$351,MATCH($C29,'1. NhapKho'!$C$5:$C$351,0)),"")</f>
        <v/>
      </c>
      <c r="H29" s="34" t="str">
        <f>IFERROR(INDEX('1. NhapKho'!$G$5:$G$351,MATCH($C29,'1. NhapKho'!$C$5:$C$351,0)),"")</f>
        <v/>
      </c>
      <c r="I29" s="35" t="str">
        <f t="shared" si="0"/>
        <v/>
      </c>
      <c r="J29" s="36" t="str">
        <f>IFERROR(INDEX('1. NhapKho'!$F$5:$F$351,MATCH($C29,'1. NhapKho'!$C$5:$C$351,0)),"")</f>
        <v/>
      </c>
      <c r="K29" s="24"/>
    </row>
    <row r="30" spans="1:11" x14ac:dyDescent="0.2">
      <c r="A30" s="31"/>
      <c r="B30" s="32"/>
      <c r="C30" s="32"/>
      <c r="D30" s="24"/>
      <c r="E30" s="24"/>
      <c r="F30" s="33"/>
      <c r="G30" s="22" t="str">
        <f>IFERROR(INDEX('1. NhapKho'!$I$5:$I$351,MATCH($C30,'1. NhapKho'!$C$5:$C$351,0)),"")</f>
        <v/>
      </c>
      <c r="H30" s="34" t="str">
        <f>IFERROR(INDEX('1. NhapKho'!$G$5:$G$351,MATCH($C30,'1. NhapKho'!$C$5:$C$351,0)),"")</f>
        <v/>
      </c>
      <c r="I30" s="35" t="str">
        <f t="shared" si="0"/>
        <v/>
      </c>
      <c r="J30" s="36" t="str">
        <f>IFERROR(INDEX('1. NhapKho'!$F$5:$F$351,MATCH($C30,'1. NhapKho'!$C$5:$C$351,0)),"")</f>
        <v/>
      </c>
      <c r="K30" s="24"/>
    </row>
    <row r="31" spans="1:11" x14ac:dyDescent="0.2">
      <c r="A31" s="31"/>
      <c r="B31" s="32"/>
      <c r="C31" s="32"/>
      <c r="D31" s="24"/>
      <c r="E31" s="24"/>
      <c r="F31" s="33"/>
      <c r="G31" s="22" t="str">
        <f>IFERROR(INDEX('1. NhapKho'!$I$5:$I$351,MATCH($C31,'1. NhapKho'!$C$5:$C$351,0)),"")</f>
        <v/>
      </c>
      <c r="H31" s="34" t="str">
        <f>IFERROR(INDEX('1. NhapKho'!$G$5:$G$351,MATCH($C31,'1. NhapKho'!$C$5:$C$351,0)),"")</f>
        <v/>
      </c>
      <c r="I31" s="35" t="str">
        <f t="shared" si="0"/>
        <v/>
      </c>
      <c r="J31" s="36" t="str">
        <f>IFERROR(INDEX('1. NhapKho'!$F$5:$F$351,MATCH($C31,'1. NhapKho'!$C$5:$C$351,0)),"")</f>
        <v/>
      </c>
      <c r="K31" s="24"/>
    </row>
    <row r="32" spans="1:11" x14ac:dyDescent="0.2">
      <c r="A32" s="31"/>
      <c r="B32" s="32"/>
      <c r="C32" s="32"/>
      <c r="D32" s="24"/>
      <c r="E32" s="24"/>
      <c r="F32" s="33"/>
      <c r="G32" s="22" t="str">
        <f>IFERROR(INDEX('1. NhapKho'!$I$5:$I$351,MATCH($C32,'1. NhapKho'!$C$5:$C$351,0)),"")</f>
        <v/>
      </c>
      <c r="H32" s="34" t="str">
        <f>IFERROR(INDEX('1. NhapKho'!$G$5:$G$351,MATCH($C32,'1. NhapKho'!$C$5:$C$351,0)),"")</f>
        <v/>
      </c>
      <c r="I32" s="35" t="str">
        <f t="shared" si="0"/>
        <v/>
      </c>
      <c r="J32" s="36" t="str">
        <f>IFERROR(INDEX('1. NhapKho'!$F$5:$F$351,MATCH($C32,'1. NhapKho'!$C$5:$C$351,0)),"")</f>
        <v/>
      </c>
      <c r="K32" s="24"/>
    </row>
    <row r="33" spans="1:11" x14ac:dyDescent="0.2">
      <c r="A33" s="31"/>
      <c r="B33" s="32"/>
      <c r="C33" s="32"/>
      <c r="D33" s="24"/>
      <c r="E33" s="24"/>
      <c r="F33" s="33"/>
      <c r="G33" s="22" t="str">
        <f>IFERROR(INDEX('1. NhapKho'!$I$5:$I$351,MATCH($C33,'1. NhapKho'!$C$5:$C$351,0)),"")</f>
        <v/>
      </c>
      <c r="H33" s="34" t="str">
        <f>IFERROR(INDEX('1. NhapKho'!$G$5:$G$351,MATCH($C33,'1. NhapKho'!$C$5:$C$351,0)),"")</f>
        <v/>
      </c>
      <c r="I33" s="35" t="str">
        <f t="shared" si="0"/>
        <v/>
      </c>
      <c r="J33" s="36" t="str">
        <f>IFERROR(INDEX('1. NhapKho'!$F$5:$F$351,MATCH($C33,'1. NhapKho'!$C$5:$C$351,0)),"")</f>
        <v/>
      </c>
      <c r="K33" s="24"/>
    </row>
    <row r="34" spans="1:11" x14ac:dyDescent="0.2">
      <c r="A34" s="31"/>
      <c r="B34" s="32"/>
      <c r="C34" s="32"/>
      <c r="D34" s="24"/>
      <c r="E34" s="24"/>
      <c r="F34" s="33"/>
      <c r="G34" s="22" t="str">
        <f>IFERROR(INDEX('1. NhapKho'!$I$5:$I$351,MATCH($C34,'1. NhapKho'!$C$5:$C$351,0)),"")</f>
        <v/>
      </c>
      <c r="H34" s="34" t="str">
        <f>IFERROR(INDEX('1. NhapKho'!$G$5:$G$351,MATCH($C34,'1. NhapKho'!$C$5:$C$351,0)),"")</f>
        <v/>
      </c>
      <c r="I34" s="35" t="str">
        <f t="shared" si="0"/>
        <v/>
      </c>
      <c r="J34" s="36" t="str">
        <f>IFERROR(INDEX('1. NhapKho'!$F$5:$F$351,MATCH($C34,'1. NhapKho'!$C$5:$C$351,0)),"")</f>
        <v/>
      </c>
      <c r="K34" s="24"/>
    </row>
    <row r="35" spans="1:11" x14ac:dyDescent="0.2">
      <c r="A35" s="31"/>
      <c r="B35" s="32"/>
      <c r="C35" s="32"/>
      <c r="D35" s="24"/>
      <c r="E35" s="24"/>
      <c r="F35" s="33"/>
      <c r="G35" s="22" t="str">
        <f>IFERROR(INDEX('1. NhapKho'!$I$5:$I$351,MATCH($C35,'1. NhapKho'!$C$5:$C$351,0)),"")</f>
        <v/>
      </c>
      <c r="H35" s="34" t="str">
        <f>IFERROR(INDEX('1. NhapKho'!$G$5:$G$351,MATCH($C35,'1. NhapKho'!$C$5:$C$351,0)),"")</f>
        <v/>
      </c>
      <c r="I35" s="35" t="str">
        <f t="shared" si="0"/>
        <v/>
      </c>
      <c r="J35" s="36" t="str">
        <f>IFERROR(INDEX('1. NhapKho'!$F$5:$F$351,MATCH($C35,'1. NhapKho'!$C$5:$C$351,0)),"")</f>
        <v/>
      </c>
      <c r="K35" s="24"/>
    </row>
    <row r="36" spans="1:11" x14ac:dyDescent="0.2">
      <c r="A36" s="31"/>
      <c r="B36" s="32"/>
      <c r="C36" s="32"/>
      <c r="D36" s="24"/>
      <c r="E36" s="24"/>
      <c r="F36" s="33"/>
      <c r="G36" s="22" t="str">
        <f>IFERROR(INDEX('1. NhapKho'!$I$5:$I$351,MATCH($C36,'1. NhapKho'!$C$5:$C$351,0)),"")</f>
        <v/>
      </c>
      <c r="H36" s="34" t="str">
        <f>IFERROR(INDEX('1. NhapKho'!$G$5:$G$351,MATCH($C36,'1. NhapKho'!$C$5:$C$351,0)),"")</f>
        <v/>
      </c>
      <c r="I36" s="35" t="str">
        <f t="shared" si="0"/>
        <v/>
      </c>
      <c r="J36" s="36" t="str">
        <f>IFERROR(INDEX('1. NhapKho'!$F$5:$F$351,MATCH($C36,'1. NhapKho'!$C$5:$C$351,0)),"")</f>
        <v/>
      </c>
      <c r="K36" s="24"/>
    </row>
    <row r="37" spans="1:11" x14ac:dyDescent="0.2">
      <c r="A37" s="31"/>
      <c r="B37" s="32"/>
      <c r="C37" s="32"/>
      <c r="D37" s="24"/>
      <c r="E37" s="24"/>
      <c r="F37" s="33"/>
      <c r="G37" s="22" t="str">
        <f>IFERROR(INDEX('1. NhapKho'!$I$5:$I$351,MATCH($C37,'1. NhapKho'!$C$5:$C$351,0)),"")</f>
        <v/>
      </c>
      <c r="H37" s="34" t="str">
        <f>IFERROR(INDEX('1. NhapKho'!$G$5:$G$351,MATCH($C37,'1. NhapKho'!$C$5:$C$351,0)),"")</f>
        <v/>
      </c>
      <c r="I37" s="35" t="str">
        <f t="shared" si="0"/>
        <v/>
      </c>
      <c r="J37" s="36" t="str">
        <f>IFERROR(INDEX('1. NhapKho'!$F$5:$F$351,MATCH($C37,'1. NhapKho'!$C$5:$C$351,0)),"")</f>
        <v/>
      </c>
      <c r="K37" s="24"/>
    </row>
    <row r="38" spans="1:11" x14ac:dyDescent="0.2">
      <c r="A38" s="31"/>
      <c r="B38" s="32"/>
      <c r="C38" s="32"/>
      <c r="D38" s="24"/>
      <c r="E38" s="24"/>
      <c r="F38" s="33"/>
      <c r="G38" s="22" t="str">
        <f>IFERROR(INDEX('1. NhapKho'!$I$5:$I$351,MATCH($C38,'1. NhapKho'!$C$5:$C$351,0)),"")</f>
        <v/>
      </c>
      <c r="H38" s="34" t="str">
        <f>IFERROR(INDEX('1. NhapKho'!$G$5:$G$351,MATCH($C38,'1. NhapKho'!$C$5:$C$351,0)),"")</f>
        <v/>
      </c>
      <c r="I38" s="35" t="str">
        <f t="shared" si="0"/>
        <v/>
      </c>
      <c r="J38" s="36" t="str">
        <f>IFERROR(INDEX('1. NhapKho'!$F$5:$F$351,MATCH($C38,'1. NhapKho'!$C$5:$C$351,0)),"")</f>
        <v/>
      </c>
      <c r="K38" s="24"/>
    </row>
    <row r="39" spans="1:11" x14ac:dyDescent="0.2">
      <c r="A39" s="31"/>
      <c r="B39" s="32"/>
      <c r="C39" s="32"/>
      <c r="D39" s="24"/>
      <c r="E39" s="24"/>
      <c r="F39" s="33"/>
      <c r="G39" s="22" t="str">
        <f>IFERROR(INDEX('1. NhapKho'!$I$5:$I$351,MATCH($C39,'1. NhapKho'!$C$5:$C$351,0)),"")</f>
        <v/>
      </c>
      <c r="H39" s="34" t="str">
        <f>IFERROR(INDEX('1. NhapKho'!$G$5:$G$351,MATCH($C39,'1. NhapKho'!$C$5:$C$351,0)),"")</f>
        <v/>
      </c>
      <c r="I39" s="35" t="str">
        <f t="shared" si="0"/>
        <v/>
      </c>
      <c r="J39" s="36" t="str">
        <f>IFERROR(INDEX('1. NhapKho'!$F$5:$F$351,MATCH($C39,'1. NhapKho'!$C$5:$C$351,0)),"")</f>
        <v/>
      </c>
      <c r="K39" s="24"/>
    </row>
    <row r="40" spans="1:11" x14ac:dyDescent="0.2">
      <c r="A40" s="31"/>
      <c r="B40" s="32"/>
      <c r="C40" s="32"/>
      <c r="D40" s="24"/>
      <c r="E40" s="24"/>
      <c r="F40" s="33"/>
      <c r="G40" s="22" t="str">
        <f>IFERROR(INDEX('1. NhapKho'!$I$5:$I$351,MATCH($C40,'1. NhapKho'!$C$5:$C$351,0)),"")</f>
        <v/>
      </c>
      <c r="H40" s="34" t="str">
        <f>IFERROR(INDEX('1. NhapKho'!$G$5:$G$351,MATCH($C40,'1. NhapKho'!$C$5:$C$351,0)),"")</f>
        <v/>
      </c>
      <c r="I40" s="35" t="str">
        <f t="shared" si="0"/>
        <v/>
      </c>
      <c r="J40" s="36" t="str">
        <f>IFERROR(INDEX('1. NhapKho'!$F$5:$F$351,MATCH($C40,'1. NhapKho'!$C$5:$C$351,0)),"")</f>
        <v/>
      </c>
      <c r="K40" s="24"/>
    </row>
    <row r="41" spans="1:11" x14ac:dyDescent="0.2">
      <c r="A41" s="31"/>
      <c r="B41" s="32"/>
      <c r="C41" s="32"/>
      <c r="D41" s="24"/>
      <c r="E41" s="24"/>
      <c r="F41" s="33"/>
      <c r="G41" s="22" t="str">
        <f>IFERROR(INDEX('1. NhapKho'!$I$5:$I$351,MATCH($C41,'1. NhapKho'!$C$5:$C$351,0)),"")</f>
        <v/>
      </c>
      <c r="H41" s="34" t="str">
        <f>IFERROR(INDEX('1. NhapKho'!$G$5:$G$351,MATCH($C41,'1. NhapKho'!$C$5:$C$351,0)),"")</f>
        <v/>
      </c>
      <c r="I41" s="35" t="str">
        <f t="shared" si="0"/>
        <v/>
      </c>
      <c r="J41" s="36" t="str">
        <f>IFERROR(INDEX('1. NhapKho'!$F$5:$F$351,MATCH($C41,'1. NhapKho'!$C$5:$C$351,0)),"")</f>
        <v/>
      </c>
      <c r="K41" s="24"/>
    </row>
    <row r="42" spans="1:11" x14ac:dyDescent="0.2">
      <c r="A42" s="31"/>
      <c r="B42" s="32"/>
      <c r="C42" s="32"/>
      <c r="D42" s="24"/>
      <c r="E42" s="24"/>
      <c r="F42" s="33"/>
      <c r="G42" s="22" t="str">
        <f>IFERROR(INDEX('1. NhapKho'!$I$5:$I$351,MATCH($C42,'1. NhapKho'!$C$5:$C$351,0)),"")</f>
        <v/>
      </c>
      <c r="H42" s="34" t="str">
        <f>IFERROR(INDEX('1. NhapKho'!$G$5:$G$351,MATCH($C42,'1. NhapKho'!$C$5:$C$351,0)),"")</f>
        <v/>
      </c>
      <c r="I42" s="35" t="str">
        <f t="shared" si="0"/>
        <v/>
      </c>
      <c r="J42" s="36" t="str">
        <f>IFERROR(INDEX('1. NhapKho'!$F$5:$F$351,MATCH($C42,'1. NhapKho'!$C$5:$C$351,0)),"")</f>
        <v/>
      </c>
      <c r="K42" s="24"/>
    </row>
    <row r="43" spans="1:11" x14ac:dyDescent="0.2">
      <c r="A43" s="31"/>
      <c r="B43" s="32"/>
      <c r="C43" s="32"/>
      <c r="D43" s="24"/>
      <c r="E43" s="24"/>
      <c r="F43" s="33"/>
      <c r="G43" s="22" t="str">
        <f>IFERROR(INDEX('1. NhapKho'!$I$5:$I$351,MATCH($C43,'1. NhapKho'!$C$5:$C$351,0)),"")</f>
        <v/>
      </c>
      <c r="H43" s="34" t="str">
        <f>IFERROR(INDEX('1. NhapKho'!$G$5:$G$351,MATCH($C43,'1. NhapKho'!$C$5:$C$351,0)),"")</f>
        <v/>
      </c>
      <c r="I43" s="35" t="str">
        <f t="shared" si="0"/>
        <v/>
      </c>
      <c r="J43" s="36" t="str">
        <f>IFERROR(INDEX('1. NhapKho'!$F$5:$F$351,MATCH($C43,'1. NhapKho'!$C$5:$C$351,0)),"")</f>
        <v/>
      </c>
      <c r="K43" s="24"/>
    </row>
    <row r="44" spans="1:11" x14ac:dyDescent="0.2">
      <c r="A44" s="31"/>
      <c r="B44" s="32"/>
      <c r="C44" s="32"/>
      <c r="D44" s="24"/>
      <c r="E44" s="24"/>
      <c r="F44" s="33"/>
      <c r="G44" s="22" t="str">
        <f>IFERROR(INDEX('1. NhapKho'!$I$5:$I$351,MATCH($C44,'1. NhapKho'!$C$5:$C$351,0)),"")</f>
        <v/>
      </c>
      <c r="H44" s="34" t="str">
        <f>IFERROR(INDEX('1. NhapKho'!$G$5:$G$351,MATCH($C44,'1. NhapKho'!$C$5:$C$351,0)),"")</f>
        <v/>
      </c>
      <c r="I44" s="35" t="str">
        <f t="shared" si="0"/>
        <v/>
      </c>
      <c r="J44" s="36" t="str">
        <f>IFERROR(INDEX('1. NhapKho'!$F$5:$F$351,MATCH($C44,'1. NhapKho'!$C$5:$C$351,0)),"")</f>
        <v/>
      </c>
      <c r="K44" s="24"/>
    </row>
    <row r="45" spans="1:11" x14ac:dyDescent="0.2">
      <c r="A45" s="31"/>
      <c r="B45" s="32"/>
      <c r="C45" s="32"/>
      <c r="D45" s="24"/>
      <c r="E45" s="24"/>
      <c r="F45" s="33"/>
      <c r="G45" s="22" t="str">
        <f>IFERROR(INDEX('1. NhapKho'!$I$5:$I$351,MATCH($C45,'1. NhapKho'!$C$5:$C$351,0)),"")</f>
        <v/>
      </c>
      <c r="H45" s="34" t="str">
        <f>IFERROR(INDEX('1. NhapKho'!$G$5:$G$351,MATCH($C45,'1. NhapKho'!$C$5:$C$351,0)),"")</f>
        <v/>
      </c>
      <c r="I45" s="35" t="str">
        <f t="shared" si="0"/>
        <v/>
      </c>
      <c r="J45" s="36" t="str">
        <f>IFERROR(INDEX('1. NhapKho'!$F$5:$F$351,MATCH($C45,'1. NhapKho'!$C$5:$C$351,0)),"")</f>
        <v/>
      </c>
      <c r="K45" s="24"/>
    </row>
    <row r="46" spans="1:11" x14ac:dyDescent="0.2">
      <c r="A46" s="31"/>
      <c r="B46" s="32"/>
      <c r="C46" s="32"/>
      <c r="D46" s="24"/>
      <c r="E46" s="24"/>
      <c r="F46" s="33"/>
      <c r="G46" s="22" t="str">
        <f>IFERROR(INDEX('1. NhapKho'!$I$5:$I$351,MATCH($C46,'1. NhapKho'!$C$5:$C$351,0)),"")</f>
        <v/>
      </c>
      <c r="H46" s="34" t="str">
        <f>IFERROR(INDEX('1. NhapKho'!$G$5:$G$351,MATCH($C46,'1. NhapKho'!$C$5:$C$351,0)),"")</f>
        <v/>
      </c>
      <c r="I46" s="35" t="str">
        <f t="shared" si="0"/>
        <v/>
      </c>
      <c r="J46" s="36" t="str">
        <f>IFERROR(INDEX('1. NhapKho'!$F$5:$F$351,MATCH($C46,'1. NhapKho'!$C$5:$C$351,0)),"")</f>
        <v/>
      </c>
      <c r="K46" s="24"/>
    </row>
    <row r="47" spans="1:11" x14ac:dyDescent="0.2">
      <c r="A47" s="31"/>
      <c r="B47" s="32"/>
      <c r="C47" s="32"/>
      <c r="D47" s="24"/>
      <c r="E47" s="24"/>
      <c r="F47" s="33"/>
      <c r="G47" s="22" t="str">
        <f>IFERROR(INDEX('1. NhapKho'!$I$5:$I$351,MATCH($C47,'1. NhapKho'!$C$5:$C$351,0)),"")</f>
        <v/>
      </c>
      <c r="H47" s="34" t="str">
        <f>IFERROR(INDEX('1. NhapKho'!$G$5:$G$351,MATCH($C47,'1. NhapKho'!$C$5:$C$351,0)),"")</f>
        <v/>
      </c>
      <c r="I47" s="35" t="str">
        <f t="shared" si="0"/>
        <v/>
      </c>
      <c r="J47" s="36" t="str">
        <f>IFERROR(INDEX('1. NhapKho'!$F$5:$F$351,MATCH($C47,'1. NhapKho'!$C$5:$C$351,0)),"")</f>
        <v/>
      </c>
      <c r="K47" s="24"/>
    </row>
    <row r="48" spans="1:11" x14ac:dyDescent="0.2">
      <c r="A48" s="31"/>
      <c r="B48" s="32"/>
      <c r="C48" s="32"/>
      <c r="D48" s="24"/>
      <c r="E48" s="24"/>
      <c r="F48" s="33"/>
      <c r="G48" s="22" t="str">
        <f>IFERROR(INDEX('1. NhapKho'!$I$5:$I$351,MATCH($C48,'1. NhapKho'!$C$5:$C$351,0)),"")</f>
        <v/>
      </c>
      <c r="H48" s="34" t="str">
        <f>IFERROR(INDEX('1. NhapKho'!$G$5:$G$351,MATCH($C48,'1. NhapKho'!$C$5:$C$351,0)),"")</f>
        <v/>
      </c>
      <c r="I48" s="35" t="str">
        <f t="shared" si="0"/>
        <v/>
      </c>
      <c r="J48" s="36" t="str">
        <f>IFERROR(INDEX('1. NhapKho'!$F$5:$F$351,MATCH($C48,'1. NhapKho'!$C$5:$C$351,0)),"")</f>
        <v/>
      </c>
      <c r="K48" s="24"/>
    </row>
    <row r="49" spans="1:11" x14ac:dyDescent="0.2">
      <c r="A49" s="31"/>
      <c r="B49" s="32"/>
      <c r="C49" s="32"/>
      <c r="D49" s="24"/>
      <c r="E49" s="24"/>
      <c r="F49" s="33"/>
      <c r="G49" s="22" t="str">
        <f>IFERROR(INDEX('1. NhapKho'!$I$5:$I$351,MATCH($C49,'1. NhapKho'!$C$5:$C$351,0)),"")</f>
        <v/>
      </c>
      <c r="H49" s="34" t="str">
        <f>IFERROR(INDEX('1. NhapKho'!$G$5:$G$351,MATCH($C49,'1. NhapKho'!$C$5:$C$351,0)),"")</f>
        <v/>
      </c>
      <c r="I49" s="35" t="str">
        <f t="shared" si="0"/>
        <v/>
      </c>
      <c r="J49" s="36" t="str">
        <f>IFERROR(INDEX('1. NhapKho'!$F$5:$F$351,MATCH($C49,'1. NhapKho'!$C$5:$C$351,0)),"")</f>
        <v/>
      </c>
      <c r="K49" s="24"/>
    </row>
    <row r="50" spans="1:11" x14ac:dyDescent="0.2">
      <c r="A50" s="31"/>
      <c r="B50" s="32"/>
      <c r="C50" s="32"/>
      <c r="D50" s="24"/>
      <c r="E50" s="24"/>
      <c r="F50" s="33"/>
      <c r="G50" s="22" t="str">
        <f>IFERROR(INDEX('1. NhapKho'!$I$5:$I$351,MATCH($C50,'1. NhapKho'!$C$5:$C$351,0)),"")</f>
        <v/>
      </c>
      <c r="H50" s="34" t="str">
        <f>IFERROR(INDEX('1. NhapKho'!$G$5:$G$351,MATCH($C50,'1. NhapKho'!$C$5:$C$351,0)),"")</f>
        <v/>
      </c>
      <c r="I50" s="35" t="str">
        <f t="shared" si="0"/>
        <v/>
      </c>
      <c r="J50" s="36" t="str">
        <f>IFERROR(INDEX('1. NhapKho'!$F$5:$F$351,MATCH($C50,'1. NhapKho'!$C$5:$C$351,0)),"")</f>
        <v/>
      </c>
      <c r="K50" s="24"/>
    </row>
    <row r="51" spans="1:11" x14ac:dyDescent="0.2">
      <c r="A51" s="31"/>
      <c r="B51" s="32"/>
      <c r="C51" s="32"/>
      <c r="D51" s="24"/>
      <c r="E51" s="24"/>
      <c r="F51" s="33"/>
      <c r="G51" s="22" t="str">
        <f>IFERROR(INDEX('1. NhapKho'!$I$5:$I$351,MATCH($C51,'1. NhapKho'!$C$5:$C$351,0)),"")</f>
        <v/>
      </c>
      <c r="H51" s="34" t="str">
        <f>IFERROR(INDEX('1. NhapKho'!$G$5:$G$351,MATCH($C51,'1. NhapKho'!$C$5:$C$351,0)),"")</f>
        <v/>
      </c>
      <c r="I51" s="35" t="str">
        <f t="shared" si="0"/>
        <v/>
      </c>
      <c r="J51" s="36" t="str">
        <f>IFERROR(INDEX('1. NhapKho'!$F$5:$F$351,MATCH($C51,'1. NhapKho'!$C$5:$C$351,0)),"")</f>
        <v/>
      </c>
      <c r="K51" s="24"/>
    </row>
    <row r="52" spans="1:11" x14ac:dyDescent="0.2">
      <c r="A52" s="31"/>
      <c r="B52" s="32"/>
      <c r="C52" s="32"/>
      <c r="D52" s="24"/>
      <c r="E52" s="24"/>
      <c r="F52" s="33"/>
      <c r="G52" s="22" t="str">
        <f>IFERROR(INDEX('1. NhapKho'!$I$5:$I$351,MATCH($C52,'1. NhapKho'!$C$5:$C$351,0)),"")</f>
        <v/>
      </c>
      <c r="H52" s="34" t="str">
        <f>IFERROR(INDEX('1. NhapKho'!$G$5:$G$351,MATCH($C52,'1. NhapKho'!$C$5:$C$351,0)),"")</f>
        <v/>
      </c>
      <c r="I52" s="35" t="str">
        <f t="shared" si="0"/>
        <v/>
      </c>
      <c r="J52" s="36" t="str">
        <f>IFERROR(INDEX('1. NhapKho'!$F$5:$F$351,MATCH($C52,'1. NhapKho'!$C$5:$C$351,0)),"")</f>
        <v/>
      </c>
      <c r="K52" s="24"/>
    </row>
    <row r="53" spans="1:11" x14ac:dyDescent="0.2">
      <c r="A53" s="31"/>
      <c r="B53" s="32"/>
      <c r="C53" s="32"/>
      <c r="D53" s="24"/>
      <c r="E53" s="24"/>
      <c r="F53" s="33"/>
      <c r="G53" s="22" t="str">
        <f>IFERROR(INDEX('1. NhapKho'!$I$5:$I$351,MATCH($C53,'1. NhapKho'!$C$5:$C$351,0)),"")</f>
        <v/>
      </c>
      <c r="H53" s="34" t="str">
        <f>IFERROR(INDEX('1. NhapKho'!$G$5:$G$351,MATCH($C53,'1. NhapKho'!$C$5:$C$351,0)),"")</f>
        <v/>
      </c>
      <c r="I53" s="35" t="str">
        <f t="shared" si="0"/>
        <v/>
      </c>
      <c r="J53" s="36" t="str">
        <f>IFERROR(INDEX('1. NhapKho'!$F$5:$F$351,MATCH($C53,'1. NhapKho'!$C$5:$C$351,0)),"")</f>
        <v/>
      </c>
      <c r="K53" s="24"/>
    </row>
    <row r="54" spans="1:11" x14ac:dyDescent="0.2">
      <c r="A54" s="31"/>
      <c r="B54" s="32"/>
      <c r="C54" s="32"/>
      <c r="D54" s="24"/>
      <c r="E54" s="24"/>
      <c r="F54" s="33"/>
      <c r="G54" s="22" t="str">
        <f>IFERROR(INDEX('1. NhapKho'!$I$5:$I$351,MATCH($C54,'1. NhapKho'!$C$5:$C$351,0)),"")</f>
        <v/>
      </c>
      <c r="H54" s="34" t="str">
        <f>IFERROR(INDEX('1. NhapKho'!$G$5:$G$351,MATCH($C54,'1. NhapKho'!$C$5:$C$351,0)),"")</f>
        <v/>
      </c>
      <c r="I54" s="35" t="str">
        <f t="shared" si="0"/>
        <v/>
      </c>
      <c r="J54" s="36" t="str">
        <f>IFERROR(INDEX('1. NhapKho'!$F$5:$F$351,MATCH($C54,'1. NhapKho'!$C$5:$C$351,0)),"")</f>
        <v/>
      </c>
      <c r="K54" s="24"/>
    </row>
    <row r="55" spans="1:11" x14ac:dyDescent="0.2">
      <c r="A55" s="31"/>
      <c r="B55" s="32"/>
      <c r="C55" s="32"/>
      <c r="D55" s="24"/>
      <c r="E55" s="24"/>
      <c r="F55" s="33"/>
      <c r="G55" s="22" t="str">
        <f>IFERROR(INDEX('1. NhapKho'!$I$5:$I$351,MATCH($C55,'1. NhapKho'!$C$5:$C$351,0)),"")</f>
        <v/>
      </c>
      <c r="H55" s="34" t="str">
        <f>IFERROR(INDEX('1. NhapKho'!$G$5:$G$351,MATCH($C55,'1. NhapKho'!$C$5:$C$351,0)),"")</f>
        <v/>
      </c>
      <c r="I55" s="35" t="str">
        <f t="shared" si="0"/>
        <v/>
      </c>
      <c r="J55" s="36" t="str">
        <f>IFERROR(INDEX('1. NhapKho'!$F$5:$F$351,MATCH($C55,'1. NhapKho'!$C$5:$C$351,0)),"")</f>
        <v/>
      </c>
      <c r="K55" s="24"/>
    </row>
    <row r="56" spans="1:11" x14ac:dyDescent="0.2">
      <c r="A56" s="31"/>
      <c r="B56" s="32"/>
      <c r="C56" s="32"/>
      <c r="D56" s="24"/>
      <c r="E56" s="24"/>
      <c r="F56" s="33"/>
      <c r="G56" s="22" t="str">
        <f>IFERROR(INDEX('1. NhapKho'!$I$5:$I$351,MATCH($C56,'1. NhapKho'!$C$5:$C$351,0)),"")</f>
        <v/>
      </c>
      <c r="H56" s="34" t="str">
        <f>IFERROR(INDEX('1. NhapKho'!$G$5:$G$351,MATCH($C56,'1. NhapKho'!$C$5:$C$351,0)),"")</f>
        <v/>
      </c>
      <c r="I56" s="35" t="str">
        <f t="shared" si="0"/>
        <v/>
      </c>
      <c r="J56" s="36" t="str">
        <f>IFERROR(INDEX('1. NhapKho'!$F$5:$F$351,MATCH($C56,'1. NhapKho'!$C$5:$C$351,0)),"")</f>
        <v/>
      </c>
      <c r="K56" s="24"/>
    </row>
    <row r="57" spans="1:11" x14ac:dyDescent="0.2">
      <c r="A57" s="31"/>
      <c r="B57" s="32"/>
      <c r="C57" s="32"/>
      <c r="D57" s="24"/>
      <c r="E57" s="24"/>
      <c r="F57" s="33"/>
      <c r="G57" s="22" t="str">
        <f>IFERROR(INDEX('1. NhapKho'!$I$5:$I$351,MATCH($C57,'1. NhapKho'!$C$5:$C$351,0)),"")</f>
        <v/>
      </c>
      <c r="H57" s="34" t="str">
        <f>IFERROR(INDEX('1. NhapKho'!$G$5:$G$351,MATCH($C57,'1. NhapKho'!$C$5:$C$351,0)),"")</f>
        <v/>
      </c>
      <c r="I57" s="35" t="str">
        <f t="shared" si="0"/>
        <v/>
      </c>
      <c r="J57" s="36" t="str">
        <f>IFERROR(INDEX('1. NhapKho'!$F$5:$F$351,MATCH($C57,'1. NhapKho'!$C$5:$C$351,0)),"")</f>
        <v/>
      </c>
      <c r="K57" s="24"/>
    </row>
    <row r="58" spans="1:11" x14ac:dyDescent="0.2">
      <c r="A58" s="31"/>
      <c r="B58" s="32"/>
      <c r="C58" s="32"/>
      <c r="D58" s="24"/>
      <c r="E58" s="24"/>
      <c r="F58" s="33"/>
      <c r="G58" s="22" t="str">
        <f>IFERROR(INDEX('1. NhapKho'!$I$5:$I$351,MATCH($C58,'1. NhapKho'!$C$5:$C$351,0)),"")</f>
        <v/>
      </c>
      <c r="H58" s="34" t="str">
        <f>IFERROR(INDEX('1. NhapKho'!$G$5:$G$351,MATCH($C58,'1. NhapKho'!$C$5:$C$351,0)),"")</f>
        <v/>
      </c>
      <c r="I58" s="35" t="str">
        <f t="shared" si="0"/>
        <v/>
      </c>
      <c r="J58" s="36" t="str">
        <f>IFERROR(INDEX('1. NhapKho'!$F$5:$F$351,MATCH($C58,'1. NhapKho'!$C$5:$C$351,0)),"")</f>
        <v/>
      </c>
      <c r="K58" s="24"/>
    </row>
    <row r="59" spans="1:11" x14ac:dyDescent="0.2">
      <c r="A59" s="31"/>
      <c r="B59" s="32"/>
      <c r="C59" s="32"/>
      <c r="D59" s="24"/>
      <c r="E59" s="24"/>
      <c r="F59" s="33"/>
      <c r="G59" s="22" t="str">
        <f>IFERROR(INDEX('1. NhapKho'!$I$5:$I$351,MATCH($C59,'1. NhapKho'!$C$5:$C$351,0)),"")</f>
        <v/>
      </c>
      <c r="H59" s="34" t="str">
        <f>IFERROR(INDEX('1. NhapKho'!$G$5:$G$351,MATCH($C59,'1. NhapKho'!$C$5:$C$351,0)),"")</f>
        <v/>
      </c>
      <c r="I59" s="35" t="str">
        <f t="shared" si="0"/>
        <v/>
      </c>
      <c r="J59" s="36" t="str">
        <f>IFERROR(INDEX('1. NhapKho'!$F$5:$F$351,MATCH($C59,'1. NhapKho'!$C$5:$C$351,0)),"")</f>
        <v/>
      </c>
      <c r="K59" s="24"/>
    </row>
    <row r="60" spans="1:11" x14ac:dyDescent="0.2">
      <c r="A60" s="31"/>
      <c r="B60" s="32"/>
      <c r="C60" s="32"/>
      <c r="D60" s="24"/>
      <c r="E60" s="24"/>
      <c r="F60" s="33"/>
      <c r="G60" s="22" t="str">
        <f>IFERROR(INDEX('1. NhapKho'!$I$5:$I$351,MATCH($C60,'1. NhapKho'!$C$5:$C$351,0)),"")</f>
        <v/>
      </c>
      <c r="H60" s="34" t="str">
        <f>IFERROR(INDEX('1. NhapKho'!$G$5:$G$351,MATCH($C60,'1. NhapKho'!$C$5:$C$351,0)),"")</f>
        <v/>
      </c>
      <c r="I60" s="35" t="str">
        <f t="shared" si="0"/>
        <v/>
      </c>
      <c r="J60" s="36" t="str">
        <f>IFERROR(INDEX('1. NhapKho'!$F$5:$F$351,MATCH($C60,'1. NhapKho'!$C$5:$C$351,0)),"")</f>
        <v/>
      </c>
      <c r="K60" s="24"/>
    </row>
    <row r="61" spans="1:11" x14ac:dyDescent="0.2">
      <c r="A61" s="31"/>
      <c r="B61" s="32"/>
      <c r="C61" s="32"/>
      <c r="D61" s="24"/>
      <c r="E61" s="24"/>
      <c r="F61" s="33"/>
      <c r="G61" s="22" t="str">
        <f>IFERROR(INDEX('1. NhapKho'!$I$5:$I$351,MATCH($C61,'1. NhapKho'!$C$5:$C$351,0)),"")</f>
        <v/>
      </c>
      <c r="H61" s="34" t="str">
        <f>IFERROR(INDEX('1. NhapKho'!$G$5:$G$351,MATCH($C61,'1. NhapKho'!$C$5:$C$351,0)),"")</f>
        <v/>
      </c>
      <c r="I61" s="35" t="str">
        <f t="shared" si="0"/>
        <v/>
      </c>
      <c r="J61" s="36" t="str">
        <f>IFERROR(INDEX('1. NhapKho'!$F$5:$F$351,MATCH($C61,'1. NhapKho'!$C$5:$C$351,0)),"")</f>
        <v/>
      </c>
      <c r="K61" s="24"/>
    </row>
    <row r="62" spans="1:11" x14ac:dyDescent="0.2">
      <c r="A62" s="31"/>
      <c r="B62" s="32"/>
      <c r="C62" s="32"/>
      <c r="D62" s="24"/>
      <c r="E62" s="24"/>
      <c r="F62" s="33"/>
      <c r="G62" s="22" t="str">
        <f>IFERROR(INDEX('1. NhapKho'!$I$5:$I$351,MATCH($C62,'1. NhapKho'!$C$5:$C$351,0)),"")</f>
        <v/>
      </c>
      <c r="H62" s="34" t="str">
        <f>IFERROR(INDEX('1. NhapKho'!$G$5:$G$351,MATCH($C62,'1. NhapKho'!$C$5:$C$351,0)),"")</f>
        <v/>
      </c>
      <c r="I62" s="35" t="str">
        <f t="shared" si="0"/>
        <v/>
      </c>
      <c r="J62" s="36" t="str">
        <f>IFERROR(INDEX('1. NhapKho'!$F$5:$F$351,MATCH($C62,'1. NhapKho'!$C$5:$C$351,0)),"")</f>
        <v/>
      </c>
      <c r="K62" s="24"/>
    </row>
    <row r="63" spans="1:11" x14ac:dyDescent="0.2">
      <c r="A63" s="31"/>
      <c r="B63" s="32"/>
      <c r="C63" s="32"/>
      <c r="D63" s="24"/>
      <c r="E63" s="24"/>
      <c r="F63" s="33"/>
      <c r="G63" s="22" t="str">
        <f>IFERROR(INDEX('1. NhapKho'!$I$5:$I$351,MATCH($C63,'1. NhapKho'!$C$5:$C$351,0)),"")</f>
        <v/>
      </c>
      <c r="H63" s="34" t="str">
        <f>IFERROR(INDEX('1. NhapKho'!$G$5:$G$351,MATCH($C63,'1. NhapKho'!$C$5:$C$351,0)),"")</f>
        <v/>
      </c>
      <c r="I63" s="35" t="str">
        <f t="shared" si="0"/>
        <v/>
      </c>
      <c r="J63" s="36" t="str">
        <f>IFERROR(INDEX('1. NhapKho'!$F$5:$F$351,MATCH($C63,'1. NhapKho'!$C$5:$C$351,0)),"")</f>
        <v/>
      </c>
      <c r="K63" s="24"/>
    </row>
    <row r="64" spans="1:11" x14ac:dyDescent="0.2">
      <c r="A64" s="31"/>
      <c r="B64" s="32"/>
      <c r="C64" s="32"/>
      <c r="D64" s="24"/>
      <c r="E64" s="24"/>
      <c r="F64" s="33"/>
      <c r="G64" s="22" t="str">
        <f>IFERROR(INDEX('1. NhapKho'!$I$5:$I$351,MATCH($C64,'1. NhapKho'!$C$5:$C$351,0)),"")</f>
        <v/>
      </c>
      <c r="H64" s="34" t="str">
        <f>IFERROR(INDEX('1. NhapKho'!$G$5:$G$351,MATCH($C64,'1. NhapKho'!$C$5:$C$351,0)),"")</f>
        <v/>
      </c>
      <c r="I64" s="35" t="str">
        <f t="shared" si="0"/>
        <v/>
      </c>
      <c r="J64" s="36" t="str">
        <f>IFERROR(INDEX('1. NhapKho'!$F$5:$F$351,MATCH($C64,'1. NhapKho'!$C$5:$C$351,0)),"")</f>
        <v/>
      </c>
      <c r="K64" s="24"/>
    </row>
    <row r="65" spans="1:11" x14ac:dyDescent="0.2">
      <c r="A65" s="31"/>
      <c r="B65" s="32"/>
      <c r="C65" s="32"/>
      <c r="D65" s="24"/>
      <c r="E65" s="24"/>
      <c r="F65" s="33"/>
      <c r="G65" s="22" t="str">
        <f>IFERROR(INDEX('1. NhapKho'!$I$5:$I$351,MATCH($C65,'1. NhapKho'!$C$5:$C$351,0)),"")</f>
        <v/>
      </c>
      <c r="H65" s="34" t="str">
        <f>IFERROR(INDEX('1. NhapKho'!$G$5:$G$351,MATCH($C65,'1. NhapKho'!$C$5:$C$351,0)),"")</f>
        <v/>
      </c>
      <c r="I65" s="35" t="str">
        <f t="shared" si="0"/>
        <v/>
      </c>
      <c r="J65" s="36" t="str">
        <f>IFERROR(INDEX('1. NhapKho'!$F$5:$F$351,MATCH($C65,'1. NhapKho'!$C$5:$C$351,0)),"")</f>
        <v/>
      </c>
      <c r="K65" s="24"/>
    </row>
    <row r="66" spans="1:11" x14ac:dyDescent="0.2">
      <c r="A66" s="31"/>
      <c r="B66" s="32"/>
      <c r="C66" s="32"/>
      <c r="D66" s="24"/>
      <c r="E66" s="24"/>
      <c r="F66" s="33"/>
      <c r="G66" s="22" t="str">
        <f>IFERROR(INDEX('1. NhapKho'!$I$5:$I$351,MATCH($C66,'1. NhapKho'!$C$5:$C$351,0)),"")</f>
        <v/>
      </c>
      <c r="H66" s="34" t="str">
        <f>IFERROR(INDEX('1. NhapKho'!$G$5:$G$351,MATCH($C66,'1. NhapKho'!$C$5:$C$351,0)),"")</f>
        <v/>
      </c>
      <c r="I66" s="35" t="str">
        <f t="shared" si="0"/>
        <v/>
      </c>
      <c r="J66" s="36" t="str">
        <f>IFERROR(INDEX('1. NhapKho'!$F$5:$F$351,MATCH($C66,'1. NhapKho'!$C$5:$C$351,0)),"")</f>
        <v/>
      </c>
      <c r="K66" s="24"/>
    </row>
    <row r="67" spans="1:11" x14ac:dyDescent="0.2">
      <c r="A67" s="31"/>
      <c r="B67" s="32"/>
      <c r="C67" s="32"/>
      <c r="D67" s="24"/>
      <c r="E67" s="24"/>
      <c r="F67" s="33"/>
      <c r="G67" s="22" t="str">
        <f>IFERROR(INDEX('1. NhapKho'!$I$5:$I$351,MATCH($C67,'1. NhapKho'!$C$5:$C$351,0)),"")</f>
        <v/>
      </c>
      <c r="H67" s="34" t="str">
        <f>IFERROR(INDEX('1. NhapKho'!$G$5:$G$351,MATCH($C67,'1. NhapKho'!$C$5:$C$351,0)),"")</f>
        <v/>
      </c>
      <c r="I67" s="35" t="str">
        <f t="shared" si="0"/>
        <v/>
      </c>
      <c r="J67" s="36" t="str">
        <f>IFERROR(INDEX('1. NhapKho'!$F$5:$F$351,MATCH($C67,'1. NhapKho'!$C$5:$C$351,0)),"")</f>
        <v/>
      </c>
      <c r="K67" s="24"/>
    </row>
    <row r="68" spans="1:11" x14ac:dyDescent="0.2">
      <c r="A68" s="31"/>
      <c r="B68" s="32"/>
      <c r="C68" s="32"/>
      <c r="D68" s="24"/>
      <c r="E68" s="24"/>
      <c r="F68" s="33"/>
      <c r="G68" s="22" t="str">
        <f>IFERROR(INDEX('1. NhapKho'!$I$5:$I$351,MATCH($C68,'1. NhapKho'!$C$5:$C$351,0)),"")</f>
        <v/>
      </c>
      <c r="H68" s="34" t="str">
        <f>IFERROR(INDEX('1. NhapKho'!$G$5:$G$351,MATCH($C68,'1. NhapKho'!$C$5:$C$351,0)),"")</f>
        <v/>
      </c>
      <c r="I68" s="35" t="str">
        <f t="shared" si="0"/>
        <v/>
      </c>
      <c r="J68" s="36" t="str">
        <f>IFERROR(INDEX('1. NhapKho'!$F$5:$F$351,MATCH($C68,'1. NhapKho'!$C$5:$C$351,0)),"")</f>
        <v/>
      </c>
      <c r="K68" s="24"/>
    </row>
    <row r="69" spans="1:11" x14ac:dyDescent="0.2">
      <c r="A69" s="31"/>
      <c r="B69" s="32"/>
      <c r="C69" s="32"/>
      <c r="D69" s="24"/>
      <c r="E69" s="24"/>
      <c r="F69" s="33"/>
      <c r="G69" s="22" t="str">
        <f>IFERROR(INDEX('1. NhapKho'!$I$5:$I$351,MATCH($C69,'1. NhapKho'!$C$5:$C$351,0)),"")</f>
        <v/>
      </c>
      <c r="H69" s="34" t="str">
        <f>IFERROR(INDEX('1. NhapKho'!$G$5:$G$351,MATCH($C69,'1. NhapKho'!$C$5:$C$351,0)),"")</f>
        <v/>
      </c>
      <c r="I69" s="35" t="str">
        <f t="shared" ref="I69:I132" si="1">IF(OR($C69="",$F69=""),"",$F69*$G69)</f>
        <v/>
      </c>
      <c r="J69" s="36" t="str">
        <f>IFERROR(INDEX('1. NhapKho'!$F$5:$F$351,MATCH($C69,'1. NhapKho'!$C$5:$C$351,0)),"")</f>
        <v/>
      </c>
      <c r="K69" s="24"/>
    </row>
    <row r="70" spans="1:11" x14ac:dyDescent="0.2">
      <c r="A70" s="31"/>
      <c r="B70" s="32"/>
      <c r="C70" s="32"/>
      <c r="D70" s="24"/>
      <c r="E70" s="24"/>
      <c r="F70" s="33"/>
      <c r="G70" s="22" t="str">
        <f>IFERROR(INDEX('1. NhapKho'!$I$5:$I$351,MATCH($C70,'1. NhapKho'!$C$5:$C$351,0)),"")</f>
        <v/>
      </c>
      <c r="H70" s="34" t="str">
        <f>IFERROR(INDEX('1. NhapKho'!$G$5:$G$351,MATCH($C70,'1. NhapKho'!$C$5:$C$351,0)),"")</f>
        <v/>
      </c>
      <c r="I70" s="35" t="str">
        <f t="shared" si="1"/>
        <v/>
      </c>
      <c r="J70" s="36" t="str">
        <f>IFERROR(INDEX('1. NhapKho'!$F$5:$F$351,MATCH($C70,'1. NhapKho'!$C$5:$C$351,0)),"")</f>
        <v/>
      </c>
      <c r="K70" s="24"/>
    </row>
    <row r="71" spans="1:11" x14ac:dyDescent="0.2">
      <c r="A71" s="31"/>
      <c r="B71" s="32"/>
      <c r="C71" s="32"/>
      <c r="D71" s="24"/>
      <c r="E71" s="24"/>
      <c r="F71" s="33"/>
      <c r="G71" s="22" t="str">
        <f>IFERROR(INDEX('1. NhapKho'!$I$5:$I$351,MATCH($C71,'1. NhapKho'!$C$5:$C$351,0)),"")</f>
        <v/>
      </c>
      <c r="H71" s="34" t="str">
        <f>IFERROR(INDEX('1. NhapKho'!$G$5:$G$351,MATCH($C71,'1. NhapKho'!$C$5:$C$351,0)),"")</f>
        <v/>
      </c>
      <c r="I71" s="35" t="str">
        <f t="shared" si="1"/>
        <v/>
      </c>
      <c r="J71" s="36" t="str">
        <f>IFERROR(INDEX('1. NhapKho'!$F$5:$F$351,MATCH($C71,'1. NhapKho'!$C$5:$C$351,0)),"")</f>
        <v/>
      </c>
      <c r="K71" s="24"/>
    </row>
    <row r="72" spans="1:11" x14ac:dyDescent="0.2">
      <c r="A72" s="31"/>
      <c r="B72" s="32"/>
      <c r="C72" s="32"/>
      <c r="D72" s="24"/>
      <c r="E72" s="24"/>
      <c r="F72" s="33"/>
      <c r="G72" s="22" t="str">
        <f>IFERROR(INDEX('1. NhapKho'!$I$5:$I$351,MATCH($C72,'1. NhapKho'!$C$5:$C$351,0)),"")</f>
        <v/>
      </c>
      <c r="H72" s="34" t="str">
        <f>IFERROR(INDEX('1. NhapKho'!$G$5:$G$351,MATCH($C72,'1. NhapKho'!$C$5:$C$351,0)),"")</f>
        <v/>
      </c>
      <c r="I72" s="35" t="str">
        <f t="shared" si="1"/>
        <v/>
      </c>
      <c r="J72" s="36" t="str">
        <f>IFERROR(INDEX('1. NhapKho'!$F$5:$F$351,MATCH($C72,'1. NhapKho'!$C$5:$C$351,0)),"")</f>
        <v/>
      </c>
      <c r="K72" s="24"/>
    </row>
    <row r="73" spans="1:11" x14ac:dyDescent="0.2">
      <c r="A73" s="31"/>
      <c r="B73" s="32"/>
      <c r="C73" s="32"/>
      <c r="D73" s="24"/>
      <c r="E73" s="24"/>
      <c r="F73" s="33"/>
      <c r="G73" s="22" t="str">
        <f>IFERROR(INDEX('1. NhapKho'!$I$5:$I$351,MATCH($C73,'1. NhapKho'!$C$5:$C$351,0)),"")</f>
        <v/>
      </c>
      <c r="H73" s="34" t="str">
        <f>IFERROR(INDEX('1. NhapKho'!$G$5:$G$351,MATCH($C73,'1. NhapKho'!$C$5:$C$351,0)),"")</f>
        <v/>
      </c>
      <c r="I73" s="35" t="str">
        <f t="shared" si="1"/>
        <v/>
      </c>
      <c r="J73" s="36" t="str">
        <f>IFERROR(INDEX('1. NhapKho'!$F$5:$F$351,MATCH($C73,'1. NhapKho'!$C$5:$C$351,0)),"")</f>
        <v/>
      </c>
      <c r="K73" s="24"/>
    </row>
    <row r="74" spans="1:11" x14ac:dyDescent="0.2">
      <c r="A74" s="31"/>
      <c r="B74" s="32"/>
      <c r="C74" s="32"/>
      <c r="D74" s="24"/>
      <c r="E74" s="24"/>
      <c r="F74" s="33"/>
      <c r="G74" s="22" t="str">
        <f>IFERROR(INDEX('1. NhapKho'!$I$5:$I$351,MATCH($C74,'1. NhapKho'!$C$5:$C$351,0)),"")</f>
        <v/>
      </c>
      <c r="H74" s="34" t="str">
        <f>IFERROR(INDEX('1. NhapKho'!$G$5:$G$351,MATCH($C74,'1. NhapKho'!$C$5:$C$351,0)),"")</f>
        <v/>
      </c>
      <c r="I74" s="35" t="str">
        <f t="shared" si="1"/>
        <v/>
      </c>
      <c r="J74" s="36" t="str">
        <f>IFERROR(INDEX('1. NhapKho'!$F$5:$F$351,MATCH($C74,'1. NhapKho'!$C$5:$C$351,0)),"")</f>
        <v/>
      </c>
      <c r="K74" s="24"/>
    </row>
    <row r="75" spans="1:11" x14ac:dyDescent="0.2">
      <c r="A75" s="31"/>
      <c r="B75" s="32"/>
      <c r="C75" s="32"/>
      <c r="D75" s="24"/>
      <c r="E75" s="24"/>
      <c r="F75" s="33"/>
      <c r="G75" s="22" t="str">
        <f>IFERROR(INDEX('1. NhapKho'!$I$5:$I$351,MATCH($C75,'1. NhapKho'!$C$5:$C$351,0)),"")</f>
        <v/>
      </c>
      <c r="H75" s="34" t="str">
        <f>IFERROR(INDEX('1. NhapKho'!$G$5:$G$351,MATCH($C75,'1. NhapKho'!$C$5:$C$351,0)),"")</f>
        <v/>
      </c>
      <c r="I75" s="35" t="str">
        <f t="shared" si="1"/>
        <v/>
      </c>
      <c r="J75" s="36" t="str">
        <f>IFERROR(INDEX('1. NhapKho'!$F$5:$F$351,MATCH($C75,'1. NhapKho'!$C$5:$C$351,0)),"")</f>
        <v/>
      </c>
      <c r="K75" s="24"/>
    </row>
    <row r="76" spans="1:11" x14ac:dyDescent="0.2">
      <c r="A76" s="31"/>
      <c r="B76" s="32"/>
      <c r="C76" s="32"/>
      <c r="D76" s="24"/>
      <c r="E76" s="24"/>
      <c r="F76" s="33"/>
      <c r="G76" s="22" t="str">
        <f>IFERROR(INDEX('1. NhapKho'!$I$5:$I$351,MATCH($C76,'1. NhapKho'!$C$5:$C$351,0)),"")</f>
        <v/>
      </c>
      <c r="H76" s="34" t="str">
        <f>IFERROR(INDEX('1. NhapKho'!$G$5:$G$351,MATCH($C76,'1. NhapKho'!$C$5:$C$351,0)),"")</f>
        <v/>
      </c>
      <c r="I76" s="35" t="str">
        <f t="shared" si="1"/>
        <v/>
      </c>
      <c r="J76" s="36" t="str">
        <f>IFERROR(INDEX('1. NhapKho'!$F$5:$F$351,MATCH($C76,'1. NhapKho'!$C$5:$C$351,0)),"")</f>
        <v/>
      </c>
      <c r="K76" s="24"/>
    </row>
    <row r="77" spans="1:11" x14ac:dyDescent="0.2">
      <c r="A77" s="31"/>
      <c r="B77" s="32"/>
      <c r="C77" s="32"/>
      <c r="D77" s="24"/>
      <c r="E77" s="24"/>
      <c r="F77" s="33"/>
      <c r="G77" s="22" t="str">
        <f>IFERROR(INDEX('1. NhapKho'!$I$5:$I$351,MATCH($C77,'1. NhapKho'!$C$5:$C$351,0)),"")</f>
        <v/>
      </c>
      <c r="H77" s="34" t="str">
        <f>IFERROR(INDEX('1. NhapKho'!$G$5:$G$351,MATCH($C77,'1. NhapKho'!$C$5:$C$351,0)),"")</f>
        <v/>
      </c>
      <c r="I77" s="35" t="str">
        <f t="shared" si="1"/>
        <v/>
      </c>
      <c r="J77" s="36" t="str">
        <f>IFERROR(INDEX('1. NhapKho'!$F$5:$F$351,MATCH($C77,'1. NhapKho'!$C$5:$C$351,0)),"")</f>
        <v/>
      </c>
      <c r="K77" s="24"/>
    </row>
    <row r="78" spans="1:11" x14ac:dyDescent="0.2">
      <c r="A78" s="31"/>
      <c r="B78" s="32"/>
      <c r="C78" s="32"/>
      <c r="D78" s="24"/>
      <c r="E78" s="24"/>
      <c r="F78" s="33"/>
      <c r="G78" s="22" t="str">
        <f>IFERROR(INDEX('1. NhapKho'!$I$5:$I$351,MATCH($C78,'1. NhapKho'!$C$5:$C$351,0)),"")</f>
        <v/>
      </c>
      <c r="H78" s="34" t="str">
        <f>IFERROR(INDEX('1. NhapKho'!$G$5:$G$351,MATCH($C78,'1. NhapKho'!$C$5:$C$351,0)),"")</f>
        <v/>
      </c>
      <c r="I78" s="35" t="str">
        <f t="shared" si="1"/>
        <v/>
      </c>
      <c r="J78" s="36" t="str">
        <f>IFERROR(INDEX('1. NhapKho'!$F$5:$F$351,MATCH($C78,'1. NhapKho'!$C$5:$C$351,0)),"")</f>
        <v/>
      </c>
      <c r="K78" s="24"/>
    </row>
    <row r="79" spans="1:11" x14ac:dyDescent="0.2">
      <c r="A79" s="31"/>
      <c r="B79" s="32"/>
      <c r="C79" s="32"/>
      <c r="D79" s="24"/>
      <c r="E79" s="24"/>
      <c r="F79" s="33"/>
      <c r="G79" s="22" t="str">
        <f>IFERROR(INDEX('1. NhapKho'!$I$5:$I$351,MATCH($C79,'1. NhapKho'!$C$5:$C$351,0)),"")</f>
        <v/>
      </c>
      <c r="H79" s="34" t="str">
        <f>IFERROR(INDEX('1. NhapKho'!$G$5:$G$351,MATCH($C79,'1. NhapKho'!$C$5:$C$351,0)),"")</f>
        <v/>
      </c>
      <c r="I79" s="35" t="str">
        <f t="shared" si="1"/>
        <v/>
      </c>
      <c r="J79" s="36" t="str">
        <f>IFERROR(INDEX('1. NhapKho'!$F$5:$F$351,MATCH($C79,'1. NhapKho'!$C$5:$C$351,0)),"")</f>
        <v/>
      </c>
      <c r="K79" s="24"/>
    </row>
    <row r="80" spans="1:11" x14ac:dyDescent="0.2">
      <c r="A80" s="31"/>
      <c r="B80" s="32"/>
      <c r="C80" s="32"/>
      <c r="D80" s="24"/>
      <c r="E80" s="24"/>
      <c r="F80" s="33"/>
      <c r="G80" s="22" t="str">
        <f>IFERROR(INDEX('1. NhapKho'!$I$5:$I$351,MATCH($C80,'1. NhapKho'!$C$5:$C$351,0)),"")</f>
        <v/>
      </c>
      <c r="H80" s="34" t="str">
        <f>IFERROR(INDEX('1. NhapKho'!$G$5:$G$351,MATCH($C80,'1. NhapKho'!$C$5:$C$351,0)),"")</f>
        <v/>
      </c>
      <c r="I80" s="35" t="str">
        <f t="shared" si="1"/>
        <v/>
      </c>
      <c r="J80" s="36" t="str">
        <f>IFERROR(INDEX('1. NhapKho'!$F$5:$F$351,MATCH($C80,'1. NhapKho'!$C$5:$C$351,0)),"")</f>
        <v/>
      </c>
      <c r="K80" s="24"/>
    </row>
    <row r="81" spans="1:11" x14ac:dyDescent="0.2">
      <c r="A81" s="31"/>
      <c r="B81" s="32"/>
      <c r="C81" s="32"/>
      <c r="D81" s="24"/>
      <c r="E81" s="24"/>
      <c r="F81" s="33"/>
      <c r="G81" s="22" t="str">
        <f>IFERROR(INDEX('1. NhapKho'!$I$5:$I$351,MATCH($C81,'1. NhapKho'!$C$5:$C$351,0)),"")</f>
        <v/>
      </c>
      <c r="H81" s="34" t="str">
        <f>IFERROR(INDEX('1. NhapKho'!$G$5:$G$351,MATCH($C81,'1. NhapKho'!$C$5:$C$351,0)),"")</f>
        <v/>
      </c>
      <c r="I81" s="35" t="str">
        <f t="shared" si="1"/>
        <v/>
      </c>
      <c r="J81" s="36" t="str">
        <f>IFERROR(INDEX('1. NhapKho'!$F$5:$F$351,MATCH($C81,'1. NhapKho'!$C$5:$C$351,0)),"")</f>
        <v/>
      </c>
      <c r="K81" s="24"/>
    </row>
    <row r="82" spans="1:11" x14ac:dyDescent="0.2">
      <c r="A82" s="31"/>
      <c r="B82" s="32"/>
      <c r="C82" s="32"/>
      <c r="D82" s="24"/>
      <c r="E82" s="24"/>
      <c r="F82" s="33"/>
      <c r="G82" s="22" t="str">
        <f>IFERROR(INDEX('1. NhapKho'!$I$5:$I$351,MATCH($C82,'1. NhapKho'!$C$5:$C$351,0)),"")</f>
        <v/>
      </c>
      <c r="H82" s="34" t="str">
        <f>IFERROR(INDEX('1. NhapKho'!$G$5:$G$351,MATCH($C82,'1. NhapKho'!$C$5:$C$351,0)),"")</f>
        <v/>
      </c>
      <c r="I82" s="35" t="str">
        <f t="shared" si="1"/>
        <v/>
      </c>
      <c r="J82" s="36" t="str">
        <f>IFERROR(INDEX('1. NhapKho'!$F$5:$F$351,MATCH($C82,'1. NhapKho'!$C$5:$C$351,0)),"")</f>
        <v/>
      </c>
      <c r="K82" s="24"/>
    </row>
    <row r="83" spans="1:11" x14ac:dyDescent="0.2">
      <c r="A83" s="31"/>
      <c r="B83" s="32"/>
      <c r="C83" s="32"/>
      <c r="D83" s="24"/>
      <c r="E83" s="24"/>
      <c r="F83" s="33"/>
      <c r="G83" s="22" t="str">
        <f>IFERROR(INDEX('1. NhapKho'!$I$5:$I$351,MATCH($C83,'1. NhapKho'!$C$5:$C$351,0)),"")</f>
        <v/>
      </c>
      <c r="H83" s="34" t="str">
        <f>IFERROR(INDEX('1. NhapKho'!$G$5:$G$351,MATCH($C83,'1. NhapKho'!$C$5:$C$351,0)),"")</f>
        <v/>
      </c>
      <c r="I83" s="35" t="str">
        <f t="shared" si="1"/>
        <v/>
      </c>
      <c r="J83" s="36" t="str">
        <f>IFERROR(INDEX('1. NhapKho'!$F$5:$F$351,MATCH($C83,'1. NhapKho'!$C$5:$C$351,0)),"")</f>
        <v/>
      </c>
      <c r="K83" s="24"/>
    </row>
    <row r="84" spans="1:11" x14ac:dyDescent="0.2">
      <c r="A84" s="31"/>
      <c r="B84" s="32"/>
      <c r="C84" s="32"/>
      <c r="D84" s="24"/>
      <c r="E84" s="24"/>
      <c r="F84" s="33"/>
      <c r="G84" s="22" t="str">
        <f>IFERROR(INDEX('1. NhapKho'!$I$5:$I$351,MATCH($C84,'1. NhapKho'!$C$5:$C$351,0)),"")</f>
        <v/>
      </c>
      <c r="H84" s="34" t="str">
        <f>IFERROR(INDEX('1. NhapKho'!$G$5:$G$351,MATCH($C84,'1. NhapKho'!$C$5:$C$351,0)),"")</f>
        <v/>
      </c>
      <c r="I84" s="35" t="str">
        <f t="shared" si="1"/>
        <v/>
      </c>
      <c r="J84" s="36" t="str">
        <f>IFERROR(INDEX('1. NhapKho'!$F$5:$F$351,MATCH($C84,'1. NhapKho'!$C$5:$C$351,0)),"")</f>
        <v/>
      </c>
      <c r="K84" s="24"/>
    </row>
    <row r="85" spans="1:11" x14ac:dyDescent="0.2">
      <c r="A85" s="31"/>
      <c r="B85" s="32"/>
      <c r="C85" s="32"/>
      <c r="D85" s="24"/>
      <c r="E85" s="24"/>
      <c r="F85" s="33"/>
      <c r="G85" s="22" t="str">
        <f>IFERROR(INDEX('1. NhapKho'!$I$5:$I$351,MATCH($C85,'1. NhapKho'!$C$5:$C$351,0)),"")</f>
        <v/>
      </c>
      <c r="H85" s="34" t="str">
        <f>IFERROR(INDEX('1. NhapKho'!$G$5:$G$351,MATCH($C85,'1. NhapKho'!$C$5:$C$351,0)),"")</f>
        <v/>
      </c>
      <c r="I85" s="35" t="str">
        <f t="shared" si="1"/>
        <v/>
      </c>
      <c r="J85" s="36" t="str">
        <f>IFERROR(INDEX('1. NhapKho'!$F$5:$F$351,MATCH($C85,'1. NhapKho'!$C$5:$C$351,0)),"")</f>
        <v/>
      </c>
      <c r="K85" s="24"/>
    </row>
    <row r="86" spans="1:11" x14ac:dyDescent="0.2">
      <c r="A86" s="31"/>
      <c r="B86" s="32"/>
      <c r="C86" s="32"/>
      <c r="D86" s="24"/>
      <c r="E86" s="24"/>
      <c r="F86" s="33"/>
      <c r="G86" s="22" t="str">
        <f>IFERROR(INDEX('1. NhapKho'!$I$5:$I$351,MATCH($C86,'1. NhapKho'!$C$5:$C$351,0)),"")</f>
        <v/>
      </c>
      <c r="H86" s="34" t="str">
        <f>IFERROR(INDEX('1. NhapKho'!$G$5:$G$351,MATCH($C86,'1. NhapKho'!$C$5:$C$351,0)),"")</f>
        <v/>
      </c>
      <c r="I86" s="35" t="str">
        <f t="shared" si="1"/>
        <v/>
      </c>
      <c r="J86" s="36" t="str">
        <f>IFERROR(INDEX('1. NhapKho'!$F$5:$F$351,MATCH($C86,'1. NhapKho'!$C$5:$C$351,0)),"")</f>
        <v/>
      </c>
      <c r="K86" s="24"/>
    </row>
    <row r="87" spans="1:11" x14ac:dyDescent="0.2">
      <c r="A87" s="31"/>
      <c r="B87" s="32"/>
      <c r="C87" s="32"/>
      <c r="D87" s="24"/>
      <c r="E87" s="24"/>
      <c r="F87" s="33"/>
      <c r="G87" s="22" t="str">
        <f>IFERROR(INDEX('1. NhapKho'!$I$5:$I$351,MATCH($C87,'1. NhapKho'!$C$5:$C$351,0)),"")</f>
        <v/>
      </c>
      <c r="H87" s="34" t="str">
        <f>IFERROR(INDEX('1. NhapKho'!$G$5:$G$351,MATCH($C87,'1. NhapKho'!$C$5:$C$351,0)),"")</f>
        <v/>
      </c>
      <c r="I87" s="35" t="str">
        <f t="shared" si="1"/>
        <v/>
      </c>
      <c r="J87" s="36" t="str">
        <f>IFERROR(INDEX('1. NhapKho'!$F$5:$F$351,MATCH($C87,'1. NhapKho'!$C$5:$C$351,0)),"")</f>
        <v/>
      </c>
      <c r="K87" s="24"/>
    </row>
    <row r="88" spans="1:11" x14ac:dyDescent="0.2">
      <c r="A88" s="31"/>
      <c r="B88" s="32"/>
      <c r="C88" s="32"/>
      <c r="D88" s="24"/>
      <c r="E88" s="24"/>
      <c r="F88" s="33"/>
      <c r="G88" s="22" t="str">
        <f>IFERROR(INDEX('1. NhapKho'!$I$5:$I$351,MATCH($C88,'1. NhapKho'!$C$5:$C$351,0)),"")</f>
        <v/>
      </c>
      <c r="H88" s="34" t="str">
        <f>IFERROR(INDEX('1. NhapKho'!$G$5:$G$351,MATCH($C88,'1. NhapKho'!$C$5:$C$351,0)),"")</f>
        <v/>
      </c>
      <c r="I88" s="35" t="str">
        <f t="shared" si="1"/>
        <v/>
      </c>
      <c r="J88" s="36" t="str">
        <f>IFERROR(INDEX('1. NhapKho'!$F$5:$F$351,MATCH($C88,'1. NhapKho'!$C$5:$C$351,0)),"")</f>
        <v/>
      </c>
      <c r="K88" s="24"/>
    </row>
    <row r="89" spans="1:11" x14ac:dyDescent="0.2">
      <c r="A89" s="31"/>
      <c r="B89" s="32"/>
      <c r="C89" s="32"/>
      <c r="D89" s="24"/>
      <c r="E89" s="24"/>
      <c r="F89" s="33"/>
      <c r="G89" s="22" t="str">
        <f>IFERROR(INDEX('1. NhapKho'!$I$5:$I$351,MATCH($C89,'1. NhapKho'!$C$5:$C$351,0)),"")</f>
        <v/>
      </c>
      <c r="H89" s="34" t="str">
        <f>IFERROR(INDEX('1. NhapKho'!$G$5:$G$351,MATCH($C89,'1. NhapKho'!$C$5:$C$351,0)),"")</f>
        <v/>
      </c>
      <c r="I89" s="35" t="str">
        <f t="shared" si="1"/>
        <v/>
      </c>
      <c r="J89" s="36" t="str">
        <f>IFERROR(INDEX('1. NhapKho'!$F$5:$F$351,MATCH($C89,'1. NhapKho'!$C$5:$C$351,0)),"")</f>
        <v/>
      </c>
      <c r="K89" s="24"/>
    </row>
    <row r="90" spans="1:11" x14ac:dyDescent="0.2">
      <c r="A90" s="31"/>
      <c r="B90" s="32"/>
      <c r="C90" s="32"/>
      <c r="D90" s="24"/>
      <c r="E90" s="24"/>
      <c r="F90" s="33"/>
      <c r="G90" s="22" t="str">
        <f>IFERROR(INDEX('1. NhapKho'!$I$5:$I$351,MATCH($C90,'1. NhapKho'!$C$5:$C$351,0)),"")</f>
        <v/>
      </c>
      <c r="H90" s="34" t="str">
        <f>IFERROR(INDEX('1. NhapKho'!$G$5:$G$351,MATCH($C90,'1. NhapKho'!$C$5:$C$351,0)),"")</f>
        <v/>
      </c>
      <c r="I90" s="35" t="str">
        <f t="shared" si="1"/>
        <v/>
      </c>
      <c r="J90" s="36" t="str">
        <f>IFERROR(INDEX('1. NhapKho'!$F$5:$F$351,MATCH($C90,'1. NhapKho'!$C$5:$C$351,0)),"")</f>
        <v/>
      </c>
      <c r="K90" s="24"/>
    </row>
    <row r="91" spans="1:11" x14ac:dyDescent="0.2">
      <c r="A91" s="31"/>
      <c r="B91" s="32"/>
      <c r="C91" s="32"/>
      <c r="D91" s="24"/>
      <c r="E91" s="24"/>
      <c r="F91" s="33"/>
      <c r="G91" s="22" t="str">
        <f>IFERROR(INDEX('1. NhapKho'!$I$5:$I$351,MATCH($C91,'1. NhapKho'!$C$5:$C$351,0)),"")</f>
        <v/>
      </c>
      <c r="H91" s="34" t="str">
        <f>IFERROR(INDEX('1. NhapKho'!$G$5:$G$351,MATCH($C91,'1. NhapKho'!$C$5:$C$351,0)),"")</f>
        <v/>
      </c>
      <c r="I91" s="35" t="str">
        <f t="shared" si="1"/>
        <v/>
      </c>
      <c r="J91" s="36" t="str">
        <f>IFERROR(INDEX('1. NhapKho'!$F$5:$F$351,MATCH($C91,'1. NhapKho'!$C$5:$C$351,0)),"")</f>
        <v/>
      </c>
      <c r="K91" s="24"/>
    </row>
    <row r="92" spans="1:11" x14ac:dyDescent="0.2">
      <c r="A92" s="31"/>
      <c r="B92" s="32"/>
      <c r="C92" s="32"/>
      <c r="D92" s="24"/>
      <c r="E92" s="24"/>
      <c r="F92" s="33"/>
      <c r="G92" s="22" t="str">
        <f>IFERROR(INDEX('1. NhapKho'!$I$5:$I$351,MATCH($C92,'1. NhapKho'!$C$5:$C$351,0)),"")</f>
        <v/>
      </c>
      <c r="H92" s="34" t="str">
        <f>IFERROR(INDEX('1. NhapKho'!$G$5:$G$351,MATCH($C92,'1. NhapKho'!$C$5:$C$351,0)),"")</f>
        <v/>
      </c>
      <c r="I92" s="35" t="str">
        <f t="shared" si="1"/>
        <v/>
      </c>
      <c r="J92" s="36" t="str">
        <f>IFERROR(INDEX('1. NhapKho'!$F$5:$F$351,MATCH($C92,'1. NhapKho'!$C$5:$C$351,0)),"")</f>
        <v/>
      </c>
      <c r="K92" s="24"/>
    </row>
    <row r="93" spans="1:11" x14ac:dyDescent="0.2">
      <c r="A93" s="31"/>
      <c r="B93" s="32"/>
      <c r="C93" s="32"/>
      <c r="D93" s="24"/>
      <c r="E93" s="24"/>
      <c r="F93" s="33"/>
      <c r="G93" s="22" t="str">
        <f>IFERROR(INDEX('1. NhapKho'!$I$5:$I$351,MATCH($C93,'1. NhapKho'!$C$5:$C$351,0)),"")</f>
        <v/>
      </c>
      <c r="H93" s="34" t="str">
        <f>IFERROR(INDEX('1. NhapKho'!$G$5:$G$351,MATCH($C93,'1. NhapKho'!$C$5:$C$351,0)),"")</f>
        <v/>
      </c>
      <c r="I93" s="35" t="str">
        <f t="shared" si="1"/>
        <v/>
      </c>
      <c r="J93" s="36" t="str">
        <f>IFERROR(INDEX('1. NhapKho'!$F$5:$F$351,MATCH($C93,'1. NhapKho'!$C$5:$C$351,0)),"")</f>
        <v/>
      </c>
      <c r="K93" s="24"/>
    </row>
    <row r="94" spans="1:11" x14ac:dyDescent="0.2">
      <c r="A94" s="31"/>
      <c r="B94" s="32"/>
      <c r="C94" s="32"/>
      <c r="D94" s="24"/>
      <c r="E94" s="24"/>
      <c r="F94" s="33"/>
      <c r="G94" s="22" t="str">
        <f>IFERROR(INDEX('1. NhapKho'!$I$5:$I$351,MATCH($C94,'1. NhapKho'!$C$5:$C$351,0)),"")</f>
        <v/>
      </c>
      <c r="H94" s="34" t="str">
        <f>IFERROR(INDEX('1. NhapKho'!$G$5:$G$351,MATCH($C94,'1. NhapKho'!$C$5:$C$351,0)),"")</f>
        <v/>
      </c>
      <c r="I94" s="35" t="str">
        <f t="shared" si="1"/>
        <v/>
      </c>
      <c r="J94" s="36" t="str">
        <f>IFERROR(INDEX('1. NhapKho'!$F$5:$F$351,MATCH($C94,'1. NhapKho'!$C$5:$C$351,0)),"")</f>
        <v/>
      </c>
      <c r="K94" s="24"/>
    </row>
    <row r="95" spans="1:11" x14ac:dyDescent="0.2">
      <c r="A95" s="31"/>
      <c r="B95" s="32"/>
      <c r="C95" s="32"/>
      <c r="D95" s="24"/>
      <c r="E95" s="24"/>
      <c r="F95" s="33"/>
      <c r="G95" s="22" t="str">
        <f>IFERROR(INDEX('1. NhapKho'!$I$5:$I$351,MATCH($C95,'1. NhapKho'!$C$5:$C$351,0)),"")</f>
        <v/>
      </c>
      <c r="H95" s="34" t="str">
        <f>IFERROR(INDEX('1. NhapKho'!$G$5:$G$351,MATCH($C95,'1. NhapKho'!$C$5:$C$351,0)),"")</f>
        <v/>
      </c>
      <c r="I95" s="35" t="str">
        <f t="shared" si="1"/>
        <v/>
      </c>
      <c r="J95" s="36" t="str">
        <f>IFERROR(INDEX('1. NhapKho'!$F$5:$F$351,MATCH($C95,'1. NhapKho'!$C$5:$C$351,0)),"")</f>
        <v/>
      </c>
      <c r="K95" s="24"/>
    </row>
    <row r="96" spans="1:11" x14ac:dyDescent="0.2">
      <c r="A96" s="31"/>
      <c r="B96" s="32"/>
      <c r="C96" s="32"/>
      <c r="D96" s="24"/>
      <c r="E96" s="24"/>
      <c r="F96" s="33"/>
      <c r="G96" s="22" t="str">
        <f>IFERROR(INDEX('1. NhapKho'!$I$5:$I$351,MATCH($C96,'1. NhapKho'!$C$5:$C$351,0)),"")</f>
        <v/>
      </c>
      <c r="H96" s="34" t="str">
        <f>IFERROR(INDEX('1. NhapKho'!$G$5:$G$351,MATCH($C96,'1. NhapKho'!$C$5:$C$351,0)),"")</f>
        <v/>
      </c>
      <c r="I96" s="35" t="str">
        <f t="shared" si="1"/>
        <v/>
      </c>
      <c r="J96" s="36" t="str">
        <f>IFERROR(INDEX('1. NhapKho'!$F$5:$F$351,MATCH($C96,'1. NhapKho'!$C$5:$C$351,0)),"")</f>
        <v/>
      </c>
      <c r="K96" s="24"/>
    </row>
    <row r="97" spans="1:11" x14ac:dyDescent="0.2">
      <c r="A97" s="31"/>
      <c r="B97" s="32"/>
      <c r="C97" s="32"/>
      <c r="D97" s="24"/>
      <c r="E97" s="24"/>
      <c r="F97" s="33"/>
      <c r="G97" s="22" t="str">
        <f>IFERROR(INDEX('1. NhapKho'!$I$5:$I$351,MATCH($C97,'1. NhapKho'!$C$5:$C$351,0)),"")</f>
        <v/>
      </c>
      <c r="H97" s="34" t="str">
        <f>IFERROR(INDEX('1. NhapKho'!$G$5:$G$351,MATCH($C97,'1. NhapKho'!$C$5:$C$351,0)),"")</f>
        <v/>
      </c>
      <c r="I97" s="35" t="str">
        <f t="shared" si="1"/>
        <v/>
      </c>
      <c r="J97" s="36" t="str">
        <f>IFERROR(INDEX('1. NhapKho'!$F$5:$F$351,MATCH($C97,'1. NhapKho'!$C$5:$C$351,0)),"")</f>
        <v/>
      </c>
      <c r="K97" s="24"/>
    </row>
    <row r="98" spans="1:11" x14ac:dyDescent="0.2">
      <c r="A98" s="31"/>
      <c r="B98" s="32"/>
      <c r="C98" s="32"/>
      <c r="D98" s="24"/>
      <c r="E98" s="24"/>
      <c r="F98" s="33"/>
      <c r="G98" s="22" t="str">
        <f>IFERROR(INDEX('1. NhapKho'!$I$5:$I$351,MATCH($C98,'1. NhapKho'!$C$5:$C$351,0)),"")</f>
        <v/>
      </c>
      <c r="H98" s="34" t="str">
        <f>IFERROR(INDEX('1. NhapKho'!$G$5:$G$351,MATCH($C98,'1. NhapKho'!$C$5:$C$351,0)),"")</f>
        <v/>
      </c>
      <c r="I98" s="35" t="str">
        <f t="shared" si="1"/>
        <v/>
      </c>
      <c r="J98" s="36" t="str">
        <f>IFERROR(INDEX('1. NhapKho'!$F$5:$F$351,MATCH($C98,'1. NhapKho'!$C$5:$C$351,0)),"")</f>
        <v/>
      </c>
      <c r="K98" s="24"/>
    </row>
    <row r="99" spans="1:11" x14ac:dyDescent="0.2">
      <c r="A99" s="31"/>
      <c r="B99" s="32"/>
      <c r="C99" s="32"/>
      <c r="D99" s="24"/>
      <c r="E99" s="24"/>
      <c r="F99" s="33"/>
      <c r="G99" s="22" t="str">
        <f>IFERROR(INDEX('1. NhapKho'!$I$5:$I$351,MATCH($C99,'1. NhapKho'!$C$5:$C$351,0)),"")</f>
        <v/>
      </c>
      <c r="H99" s="34" t="str">
        <f>IFERROR(INDEX('1. NhapKho'!$G$5:$G$351,MATCH($C99,'1. NhapKho'!$C$5:$C$351,0)),"")</f>
        <v/>
      </c>
      <c r="I99" s="35" t="str">
        <f t="shared" si="1"/>
        <v/>
      </c>
      <c r="J99" s="36" t="str">
        <f>IFERROR(INDEX('1. NhapKho'!$F$5:$F$351,MATCH($C99,'1. NhapKho'!$C$5:$C$351,0)),"")</f>
        <v/>
      </c>
      <c r="K99" s="24"/>
    </row>
    <row r="100" spans="1:11" x14ac:dyDescent="0.2">
      <c r="A100" s="31"/>
      <c r="B100" s="32"/>
      <c r="C100" s="32"/>
      <c r="D100" s="24"/>
      <c r="E100" s="24"/>
      <c r="F100" s="33"/>
      <c r="G100" s="22" t="str">
        <f>IFERROR(INDEX('1. NhapKho'!$I$5:$I$351,MATCH($C100,'1. NhapKho'!$C$5:$C$351,0)),"")</f>
        <v/>
      </c>
      <c r="H100" s="34" t="str">
        <f>IFERROR(INDEX('1. NhapKho'!$G$5:$G$351,MATCH($C100,'1. NhapKho'!$C$5:$C$351,0)),"")</f>
        <v/>
      </c>
      <c r="I100" s="35" t="str">
        <f t="shared" si="1"/>
        <v/>
      </c>
      <c r="J100" s="36" t="str">
        <f>IFERROR(INDEX('1. NhapKho'!$F$5:$F$351,MATCH($C100,'1. NhapKho'!$C$5:$C$351,0)),"")</f>
        <v/>
      </c>
      <c r="K100" s="24"/>
    </row>
    <row r="101" spans="1:11" x14ac:dyDescent="0.2">
      <c r="A101" s="31"/>
      <c r="B101" s="32"/>
      <c r="C101" s="32"/>
      <c r="D101" s="24"/>
      <c r="E101" s="24"/>
      <c r="F101" s="33"/>
      <c r="G101" s="22" t="str">
        <f>IFERROR(INDEX('1. NhapKho'!$I$5:$I$351,MATCH($C101,'1. NhapKho'!$C$5:$C$351,0)),"")</f>
        <v/>
      </c>
      <c r="H101" s="34" t="str">
        <f>IFERROR(INDEX('1. NhapKho'!$G$5:$G$351,MATCH($C101,'1. NhapKho'!$C$5:$C$351,0)),"")</f>
        <v/>
      </c>
      <c r="I101" s="35" t="str">
        <f t="shared" si="1"/>
        <v/>
      </c>
      <c r="J101" s="36" t="str">
        <f>IFERROR(INDEX('1. NhapKho'!$F$5:$F$351,MATCH($C101,'1. NhapKho'!$C$5:$C$351,0)),"")</f>
        <v/>
      </c>
      <c r="K101" s="24"/>
    </row>
    <row r="102" spans="1:11" x14ac:dyDescent="0.2">
      <c r="A102" s="31"/>
      <c r="B102" s="32"/>
      <c r="C102" s="32"/>
      <c r="D102" s="24"/>
      <c r="E102" s="24"/>
      <c r="F102" s="33"/>
      <c r="G102" s="22" t="str">
        <f>IFERROR(INDEX('1. NhapKho'!$I$5:$I$351,MATCH($C102,'1. NhapKho'!$C$5:$C$351,0)),"")</f>
        <v/>
      </c>
      <c r="H102" s="34" t="str">
        <f>IFERROR(INDEX('1. NhapKho'!$G$5:$G$351,MATCH($C102,'1. NhapKho'!$C$5:$C$351,0)),"")</f>
        <v/>
      </c>
      <c r="I102" s="35" t="str">
        <f t="shared" si="1"/>
        <v/>
      </c>
      <c r="J102" s="36" t="str">
        <f>IFERROR(INDEX('1. NhapKho'!$F$5:$F$351,MATCH($C102,'1. NhapKho'!$C$5:$C$351,0)),"")</f>
        <v/>
      </c>
      <c r="K102" s="24"/>
    </row>
    <row r="103" spans="1:11" x14ac:dyDescent="0.2">
      <c r="A103" s="31"/>
      <c r="B103" s="32"/>
      <c r="C103" s="32"/>
      <c r="D103" s="24"/>
      <c r="E103" s="24"/>
      <c r="F103" s="33"/>
      <c r="G103" s="22" t="str">
        <f>IFERROR(INDEX('1. NhapKho'!$I$5:$I$351,MATCH($C103,'1. NhapKho'!$C$5:$C$351,0)),"")</f>
        <v/>
      </c>
      <c r="H103" s="34" t="str">
        <f>IFERROR(INDEX('1. NhapKho'!$G$5:$G$351,MATCH($C103,'1. NhapKho'!$C$5:$C$351,0)),"")</f>
        <v/>
      </c>
      <c r="I103" s="35" t="str">
        <f t="shared" si="1"/>
        <v/>
      </c>
      <c r="J103" s="36" t="str">
        <f>IFERROR(INDEX('1. NhapKho'!$F$5:$F$351,MATCH($C103,'1. NhapKho'!$C$5:$C$351,0)),"")</f>
        <v/>
      </c>
      <c r="K103" s="24"/>
    </row>
    <row r="104" spans="1:11" x14ac:dyDescent="0.2">
      <c r="A104" s="31"/>
      <c r="B104" s="32"/>
      <c r="C104" s="32"/>
      <c r="D104" s="24"/>
      <c r="E104" s="24"/>
      <c r="F104" s="33"/>
      <c r="G104" s="22" t="str">
        <f>IFERROR(INDEX('1. NhapKho'!$I$5:$I$351,MATCH($C104,'1. NhapKho'!$C$5:$C$351,0)),"")</f>
        <v/>
      </c>
      <c r="H104" s="34" t="str">
        <f>IFERROR(INDEX('1. NhapKho'!$G$5:$G$351,MATCH($C104,'1. NhapKho'!$C$5:$C$351,0)),"")</f>
        <v/>
      </c>
      <c r="I104" s="35" t="str">
        <f t="shared" si="1"/>
        <v/>
      </c>
      <c r="J104" s="36" t="str">
        <f>IFERROR(INDEX('1. NhapKho'!$F$5:$F$351,MATCH($C104,'1. NhapKho'!$C$5:$C$351,0)),"")</f>
        <v/>
      </c>
      <c r="K104" s="24"/>
    </row>
    <row r="105" spans="1:11" x14ac:dyDescent="0.2">
      <c r="A105" s="31"/>
      <c r="B105" s="32"/>
      <c r="C105" s="32"/>
      <c r="D105" s="24"/>
      <c r="E105" s="24"/>
      <c r="F105" s="33"/>
      <c r="G105" s="22" t="str">
        <f>IFERROR(INDEX('1. NhapKho'!$I$5:$I$351,MATCH($C105,'1. NhapKho'!$C$5:$C$351,0)),"")</f>
        <v/>
      </c>
      <c r="H105" s="34" t="str">
        <f>IFERROR(INDEX('1. NhapKho'!$G$5:$G$351,MATCH($C105,'1. NhapKho'!$C$5:$C$351,0)),"")</f>
        <v/>
      </c>
      <c r="I105" s="35" t="str">
        <f t="shared" si="1"/>
        <v/>
      </c>
      <c r="J105" s="36" t="str">
        <f>IFERROR(INDEX('1. NhapKho'!$F$5:$F$351,MATCH($C105,'1. NhapKho'!$C$5:$C$351,0)),"")</f>
        <v/>
      </c>
      <c r="K105" s="24"/>
    </row>
    <row r="106" spans="1:11" x14ac:dyDescent="0.2">
      <c r="A106" s="31"/>
      <c r="B106" s="32"/>
      <c r="C106" s="32"/>
      <c r="D106" s="24"/>
      <c r="E106" s="24"/>
      <c r="F106" s="33"/>
      <c r="G106" s="22" t="str">
        <f>IFERROR(INDEX('1. NhapKho'!$I$5:$I$351,MATCH($C106,'1. NhapKho'!$C$5:$C$351,0)),"")</f>
        <v/>
      </c>
      <c r="H106" s="34" t="str">
        <f>IFERROR(INDEX('1. NhapKho'!$G$5:$G$351,MATCH($C106,'1. NhapKho'!$C$5:$C$351,0)),"")</f>
        <v/>
      </c>
      <c r="I106" s="35" t="str">
        <f t="shared" si="1"/>
        <v/>
      </c>
      <c r="J106" s="36" t="str">
        <f>IFERROR(INDEX('1. NhapKho'!$F$5:$F$351,MATCH($C106,'1. NhapKho'!$C$5:$C$351,0)),"")</f>
        <v/>
      </c>
      <c r="K106" s="24"/>
    </row>
    <row r="107" spans="1:11" x14ac:dyDescent="0.2">
      <c r="A107" s="31"/>
      <c r="B107" s="32"/>
      <c r="C107" s="32"/>
      <c r="D107" s="24"/>
      <c r="E107" s="24"/>
      <c r="F107" s="33"/>
      <c r="G107" s="22" t="str">
        <f>IFERROR(INDEX('1. NhapKho'!$I$5:$I$351,MATCH($C107,'1. NhapKho'!$C$5:$C$351,0)),"")</f>
        <v/>
      </c>
      <c r="H107" s="34" t="str">
        <f>IFERROR(INDEX('1. NhapKho'!$G$5:$G$351,MATCH($C107,'1. NhapKho'!$C$5:$C$351,0)),"")</f>
        <v/>
      </c>
      <c r="I107" s="35" t="str">
        <f t="shared" si="1"/>
        <v/>
      </c>
      <c r="J107" s="36" t="str">
        <f>IFERROR(INDEX('1. NhapKho'!$F$5:$F$351,MATCH($C107,'1. NhapKho'!$C$5:$C$351,0)),"")</f>
        <v/>
      </c>
      <c r="K107" s="24"/>
    </row>
    <row r="108" spans="1:11" x14ac:dyDescent="0.2">
      <c r="A108" s="31"/>
      <c r="B108" s="32"/>
      <c r="C108" s="32"/>
      <c r="D108" s="24"/>
      <c r="E108" s="24"/>
      <c r="F108" s="33"/>
      <c r="G108" s="22" t="str">
        <f>IFERROR(INDEX('1. NhapKho'!$I$5:$I$351,MATCH($C108,'1. NhapKho'!$C$5:$C$351,0)),"")</f>
        <v/>
      </c>
      <c r="H108" s="34" t="str">
        <f>IFERROR(INDEX('1. NhapKho'!$G$5:$G$351,MATCH($C108,'1. NhapKho'!$C$5:$C$351,0)),"")</f>
        <v/>
      </c>
      <c r="I108" s="35" t="str">
        <f t="shared" si="1"/>
        <v/>
      </c>
      <c r="J108" s="36" t="str">
        <f>IFERROR(INDEX('1. NhapKho'!$F$5:$F$351,MATCH($C108,'1. NhapKho'!$C$5:$C$351,0)),"")</f>
        <v/>
      </c>
      <c r="K108" s="24"/>
    </row>
    <row r="109" spans="1:11" x14ac:dyDescent="0.2">
      <c r="A109" s="31"/>
      <c r="B109" s="32"/>
      <c r="C109" s="32"/>
      <c r="D109" s="24"/>
      <c r="E109" s="24"/>
      <c r="F109" s="33"/>
      <c r="G109" s="22" t="str">
        <f>IFERROR(INDEX('1. NhapKho'!$I$5:$I$351,MATCH($C109,'1. NhapKho'!$C$5:$C$351,0)),"")</f>
        <v/>
      </c>
      <c r="H109" s="34" t="str">
        <f>IFERROR(INDEX('1. NhapKho'!$G$5:$G$351,MATCH($C109,'1. NhapKho'!$C$5:$C$351,0)),"")</f>
        <v/>
      </c>
      <c r="I109" s="35" t="str">
        <f t="shared" si="1"/>
        <v/>
      </c>
      <c r="J109" s="36" t="str">
        <f>IFERROR(INDEX('1. NhapKho'!$F$5:$F$351,MATCH($C109,'1. NhapKho'!$C$5:$C$351,0)),"")</f>
        <v/>
      </c>
      <c r="K109" s="24"/>
    </row>
    <row r="110" spans="1:11" x14ac:dyDescent="0.2">
      <c r="A110" s="31"/>
      <c r="B110" s="32"/>
      <c r="C110" s="32"/>
      <c r="D110" s="24"/>
      <c r="E110" s="24"/>
      <c r="F110" s="33"/>
      <c r="G110" s="22" t="str">
        <f>IFERROR(INDEX('1. NhapKho'!$I$5:$I$351,MATCH($C110,'1. NhapKho'!$C$5:$C$351,0)),"")</f>
        <v/>
      </c>
      <c r="H110" s="34" t="str">
        <f>IFERROR(INDEX('1. NhapKho'!$G$5:$G$351,MATCH($C110,'1. NhapKho'!$C$5:$C$351,0)),"")</f>
        <v/>
      </c>
      <c r="I110" s="35" t="str">
        <f t="shared" si="1"/>
        <v/>
      </c>
      <c r="J110" s="36" t="str">
        <f>IFERROR(INDEX('1. NhapKho'!$F$5:$F$351,MATCH($C110,'1. NhapKho'!$C$5:$C$351,0)),"")</f>
        <v/>
      </c>
      <c r="K110" s="24"/>
    </row>
    <row r="111" spans="1:11" x14ac:dyDescent="0.2">
      <c r="A111" s="31"/>
      <c r="B111" s="32"/>
      <c r="C111" s="32"/>
      <c r="D111" s="24"/>
      <c r="E111" s="24"/>
      <c r="F111" s="33"/>
      <c r="G111" s="22" t="str">
        <f>IFERROR(INDEX('1. NhapKho'!$I$5:$I$351,MATCH($C111,'1. NhapKho'!$C$5:$C$351,0)),"")</f>
        <v/>
      </c>
      <c r="H111" s="34" t="str">
        <f>IFERROR(INDEX('1. NhapKho'!$G$5:$G$351,MATCH($C111,'1. NhapKho'!$C$5:$C$351,0)),"")</f>
        <v/>
      </c>
      <c r="I111" s="35" t="str">
        <f t="shared" si="1"/>
        <v/>
      </c>
      <c r="J111" s="36" t="str">
        <f>IFERROR(INDEX('1. NhapKho'!$F$5:$F$351,MATCH($C111,'1. NhapKho'!$C$5:$C$351,0)),"")</f>
        <v/>
      </c>
      <c r="K111" s="24"/>
    </row>
    <row r="112" spans="1:11" x14ac:dyDescent="0.2">
      <c r="A112" s="31"/>
      <c r="B112" s="32"/>
      <c r="C112" s="32"/>
      <c r="D112" s="24"/>
      <c r="E112" s="24"/>
      <c r="F112" s="33"/>
      <c r="G112" s="22" t="str">
        <f>IFERROR(INDEX('1. NhapKho'!$I$5:$I$351,MATCH($C112,'1. NhapKho'!$C$5:$C$351,0)),"")</f>
        <v/>
      </c>
      <c r="H112" s="34" t="str">
        <f>IFERROR(INDEX('1. NhapKho'!$G$5:$G$351,MATCH($C112,'1. NhapKho'!$C$5:$C$351,0)),"")</f>
        <v/>
      </c>
      <c r="I112" s="35" t="str">
        <f t="shared" si="1"/>
        <v/>
      </c>
      <c r="J112" s="36" t="str">
        <f>IFERROR(INDEX('1. NhapKho'!$F$5:$F$351,MATCH($C112,'1. NhapKho'!$C$5:$C$351,0)),"")</f>
        <v/>
      </c>
      <c r="K112" s="24"/>
    </row>
    <row r="113" spans="1:11" x14ac:dyDescent="0.2">
      <c r="A113" s="31"/>
      <c r="B113" s="32"/>
      <c r="C113" s="32"/>
      <c r="D113" s="24"/>
      <c r="E113" s="24"/>
      <c r="F113" s="33"/>
      <c r="G113" s="22" t="str">
        <f>IFERROR(INDEX('1. NhapKho'!$I$5:$I$351,MATCH($C113,'1. NhapKho'!$C$5:$C$351,0)),"")</f>
        <v/>
      </c>
      <c r="H113" s="34" t="str">
        <f>IFERROR(INDEX('1. NhapKho'!$G$5:$G$351,MATCH($C113,'1. NhapKho'!$C$5:$C$351,0)),"")</f>
        <v/>
      </c>
      <c r="I113" s="35" t="str">
        <f t="shared" si="1"/>
        <v/>
      </c>
      <c r="J113" s="36" t="str">
        <f>IFERROR(INDEX('1. NhapKho'!$F$5:$F$351,MATCH($C113,'1. NhapKho'!$C$5:$C$351,0)),"")</f>
        <v/>
      </c>
      <c r="K113" s="24"/>
    </row>
    <row r="114" spans="1:11" x14ac:dyDescent="0.2">
      <c r="A114" s="31"/>
      <c r="B114" s="32"/>
      <c r="C114" s="32"/>
      <c r="D114" s="24"/>
      <c r="E114" s="24"/>
      <c r="F114" s="33"/>
      <c r="G114" s="22" t="str">
        <f>IFERROR(INDEX('1. NhapKho'!$I$5:$I$351,MATCH($C114,'1. NhapKho'!$C$5:$C$351,0)),"")</f>
        <v/>
      </c>
      <c r="H114" s="34" t="str">
        <f>IFERROR(INDEX('1. NhapKho'!$G$5:$G$351,MATCH($C114,'1. NhapKho'!$C$5:$C$351,0)),"")</f>
        <v/>
      </c>
      <c r="I114" s="35" t="str">
        <f t="shared" si="1"/>
        <v/>
      </c>
      <c r="J114" s="36" t="str">
        <f>IFERROR(INDEX('1. NhapKho'!$F$5:$F$351,MATCH($C114,'1. NhapKho'!$C$5:$C$351,0)),"")</f>
        <v/>
      </c>
      <c r="K114" s="24"/>
    </row>
    <row r="115" spans="1:11" x14ac:dyDescent="0.2">
      <c r="A115" s="31"/>
      <c r="B115" s="32"/>
      <c r="C115" s="32"/>
      <c r="D115" s="24"/>
      <c r="E115" s="24"/>
      <c r="F115" s="33"/>
      <c r="G115" s="22" t="str">
        <f>IFERROR(INDEX('1. NhapKho'!$I$5:$I$351,MATCH($C115,'1. NhapKho'!$C$5:$C$351,0)),"")</f>
        <v/>
      </c>
      <c r="H115" s="34" t="str">
        <f>IFERROR(INDEX('1. NhapKho'!$G$5:$G$351,MATCH($C115,'1. NhapKho'!$C$5:$C$351,0)),"")</f>
        <v/>
      </c>
      <c r="I115" s="35" t="str">
        <f t="shared" si="1"/>
        <v/>
      </c>
      <c r="J115" s="36" t="str">
        <f>IFERROR(INDEX('1. NhapKho'!$F$5:$F$351,MATCH($C115,'1. NhapKho'!$C$5:$C$351,0)),"")</f>
        <v/>
      </c>
      <c r="K115" s="24"/>
    </row>
    <row r="116" spans="1:11" x14ac:dyDescent="0.2">
      <c r="A116" s="31"/>
      <c r="B116" s="32"/>
      <c r="C116" s="32"/>
      <c r="D116" s="24"/>
      <c r="E116" s="24"/>
      <c r="F116" s="33"/>
      <c r="G116" s="22" t="str">
        <f>IFERROR(INDEX('1. NhapKho'!$I$5:$I$351,MATCH($C116,'1. NhapKho'!$C$5:$C$351,0)),"")</f>
        <v/>
      </c>
      <c r="H116" s="34" t="str">
        <f>IFERROR(INDEX('1. NhapKho'!$G$5:$G$351,MATCH($C116,'1. NhapKho'!$C$5:$C$351,0)),"")</f>
        <v/>
      </c>
      <c r="I116" s="35" t="str">
        <f t="shared" si="1"/>
        <v/>
      </c>
      <c r="J116" s="36" t="str">
        <f>IFERROR(INDEX('1. NhapKho'!$F$5:$F$351,MATCH($C116,'1. NhapKho'!$C$5:$C$351,0)),"")</f>
        <v/>
      </c>
      <c r="K116" s="24"/>
    </row>
    <row r="117" spans="1:11" x14ac:dyDescent="0.2">
      <c r="A117" s="31"/>
      <c r="B117" s="32"/>
      <c r="C117" s="32"/>
      <c r="D117" s="24"/>
      <c r="E117" s="24"/>
      <c r="F117" s="33"/>
      <c r="G117" s="22" t="str">
        <f>IFERROR(INDEX('1. NhapKho'!$I$5:$I$351,MATCH($C117,'1. NhapKho'!$C$5:$C$351,0)),"")</f>
        <v/>
      </c>
      <c r="H117" s="34" t="str">
        <f>IFERROR(INDEX('1. NhapKho'!$G$5:$G$351,MATCH($C117,'1. NhapKho'!$C$5:$C$351,0)),"")</f>
        <v/>
      </c>
      <c r="I117" s="35" t="str">
        <f t="shared" si="1"/>
        <v/>
      </c>
      <c r="J117" s="36" t="str">
        <f>IFERROR(INDEX('1. NhapKho'!$F$5:$F$351,MATCH($C117,'1. NhapKho'!$C$5:$C$351,0)),"")</f>
        <v/>
      </c>
      <c r="K117" s="24"/>
    </row>
    <row r="118" spans="1:11" x14ac:dyDescent="0.2">
      <c r="A118" s="31"/>
      <c r="B118" s="32"/>
      <c r="C118" s="32"/>
      <c r="D118" s="24"/>
      <c r="E118" s="24"/>
      <c r="F118" s="33"/>
      <c r="G118" s="22" t="str">
        <f>IFERROR(INDEX('1. NhapKho'!$I$5:$I$351,MATCH($C118,'1. NhapKho'!$C$5:$C$351,0)),"")</f>
        <v/>
      </c>
      <c r="H118" s="34" t="str">
        <f>IFERROR(INDEX('1. NhapKho'!$G$5:$G$351,MATCH($C118,'1. NhapKho'!$C$5:$C$351,0)),"")</f>
        <v/>
      </c>
      <c r="I118" s="35" t="str">
        <f t="shared" si="1"/>
        <v/>
      </c>
      <c r="J118" s="36" t="str">
        <f>IFERROR(INDEX('1. NhapKho'!$F$5:$F$351,MATCH($C118,'1. NhapKho'!$C$5:$C$351,0)),"")</f>
        <v/>
      </c>
      <c r="K118" s="24"/>
    </row>
    <row r="119" spans="1:11" x14ac:dyDescent="0.2">
      <c r="A119" s="31"/>
      <c r="B119" s="32"/>
      <c r="C119" s="32"/>
      <c r="D119" s="24"/>
      <c r="E119" s="24"/>
      <c r="F119" s="33"/>
      <c r="G119" s="22" t="str">
        <f>IFERROR(INDEX('1. NhapKho'!$I$5:$I$351,MATCH($C119,'1. NhapKho'!$C$5:$C$351,0)),"")</f>
        <v/>
      </c>
      <c r="H119" s="34" t="str">
        <f>IFERROR(INDEX('1. NhapKho'!$G$5:$G$351,MATCH($C119,'1. NhapKho'!$C$5:$C$351,0)),"")</f>
        <v/>
      </c>
      <c r="I119" s="35" t="str">
        <f t="shared" si="1"/>
        <v/>
      </c>
      <c r="J119" s="36" t="str">
        <f>IFERROR(INDEX('1. NhapKho'!$F$5:$F$351,MATCH($C119,'1. NhapKho'!$C$5:$C$351,0)),"")</f>
        <v/>
      </c>
      <c r="K119" s="24"/>
    </row>
    <row r="120" spans="1:11" x14ac:dyDescent="0.2">
      <c r="A120" s="31"/>
      <c r="B120" s="32"/>
      <c r="C120" s="32"/>
      <c r="D120" s="24"/>
      <c r="E120" s="24"/>
      <c r="F120" s="33"/>
      <c r="G120" s="22" t="str">
        <f>IFERROR(INDEX('1. NhapKho'!$I$5:$I$351,MATCH($C120,'1. NhapKho'!$C$5:$C$351,0)),"")</f>
        <v/>
      </c>
      <c r="H120" s="34" t="str">
        <f>IFERROR(INDEX('1. NhapKho'!$G$5:$G$351,MATCH($C120,'1. NhapKho'!$C$5:$C$351,0)),"")</f>
        <v/>
      </c>
      <c r="I120" s="35" t="str">
        <f t="shared" si="1"/>
        <v/>
      </c>
      <c r="J120" s="36" t="str">
        <f>IFERROR(INDEX('1. NhapKho'!$F$5:$F$351,MATCH($C120,'1. NhapKho'!$C$5:$C$351,0)),"")</f>
        <v/>
      </c>
      <c r="K120" s="24"/>
    </row>
    <row r="121" spans="1:11" x14ac:dyDescent="0.2">
      <c r="A121" s="31"/>
      <c r="B121" s="32"/>
      <c r="C121" s="32"/>
      <c r="D121" s="24"/>
      <c r="E121" s="24"/>
      <c r="F121" s="33"/>
      <c r="G121" s="22" t="str">
        <f>IFERROR(INDEX('1. NhapKho'!$I$5:$I$351,MATCH($C121,'1. NhapKho'!$C$5:$C$351,0)),"")</f>
        <v/>
      </c>
      <c r="H121" s="34" t="str">
        <f>IFERROR(INDEX('1. NhapKho'!$G$5:$G$351,MATCH($C121,'1. NhapKho'!$C$5:$C$351,0)),"")</f>
        <v/>
      </c>
      <c r="I121" s="35" t="str">
        <f t="shared" si="1"/>
        <v/>
      </c>
      <c r="J121" s="36" t="str">
        <f>IFERROR(INDEX('1. NhapKho'!$F$5:$F$351,MATCH($C121,'1. NhapKho'!$C$5:$C$351,0)),"")</f>
        <v/>
      </c>
      <c r="K121" s="24"/>
    </row>
    <row r="122" spans="1:11" x14ac:dyDescent="0.2">
      <c r="A122" s="31"/>
      <c r="B122" s="32"/>
      <c r="C122" s="32"/>
      <c r="D122" s="24"/>
      <c r="E122" s="24"/>
      <c r="F122" s="33"/>
      <c r="G122" s="22" t="str">
        <f>IFERROR(INDEX('1. NhapKho'!$I$5:$I$351,MATCH($C122,'1. NhapKho'!$C$5:$C$351,0)),"")</f>
        <v/>
      </c>
      <c r="H122" s="34" t="str">
        <f>IFERROR(INDEX('1. NhapKho'!$G$5:$G$351,MATCH($C122,'1. NhapKho'!$C$5:$C$351,0)),"")</f>
        <v/>
      </c>
      <c r="I122" s="35" t="str">
        <f t="shared" si="1"/>
        <v/>
      </c>
      <c r="J122" s="36" t="str">
        <f>IFERROR(INDEX('1. NhapKho'!$F$5:$F$351,MATCH($C122,'1. NhapKho'!$C$5:$C$351,0)),"")</f>
        <v/>
      </c>
      <c r="K122" s="24"/>
    </row>
    <row r="123" spans="1:11" x14ac:dyDescent="0.2">
      <c r="A123" s="31"/>
      <c r="B123" s="32"/>
      <c r="C123" s="32"/>
      <c r="D123" s="24"/>
      <c r="E123" s="24"/>
      <c r="F123" s="33"/>
      <c r="G123" s="22" t="str">
        <f>IFERROR(INDEX('1. NhapKho'!$I$5:$I$351,MATCH($C123,'1. NhapKho'!$C$5:$C$351,0)),"")</f>
        <v/>
      </c>
      <c r="H123" s="34" t="str">
        <f>IFERROR(INDEX('1. NhapKho'!$G$5:$G$351,MATCH($C123,'1. NhapKho'!$C$5:$C$351,0)),"")</f>
        <v/>
      </c>
      <c r="I123" s="35" t="str">
        <f t="shared" si="1"/>
        <v/>
      </c>
      <c r="J123" s="36" t="str">
        <f>IFERROR(INDEX('1. NhapKho'!$F$5:$F$351,MATCH($C123,'1. NhapKho'!$C$5:$C$351,0)),"")</f>
        <v/>
      </c>
      <c r="K123" s="24"/>
    </row>
    <row r="124" spans="1:11" x14ac:dyDescent="0.2">
      <c r="A124" s="31"/>
      <c r="B124" s="32"/>
      <c r="C124" s="32"/>
      <c r="D124" s="24"/>
      <c r="E124" s="24"/>
      <c r="F124" s="33"/>
      <c r="G124" s="22" t="str">
        <f>IFERROR(INDEX('1. NhapKho'!$I$5:$I$351,MATCH($C124,'1. NhapKho'!$C$5:$C$351,0)),"")</f>
        <v/>
      </c>
      <c r="H124" s="34" t="str">
        <f>IFERROR(INDEX('1. NhapKho'!$G$5:$G$351,MATCH($C124,'1. NhapKho'!$C$5:$C$351,0)),"")</f>
        <v/>
      </c>
      <c r="I124" s="35" t="str">
        <f t="shared" si="1"/>
        <v/>
      </c>
      <c r="J124" s="36" t="str">
        <f>IFERROR(INDEX('1. NhapKho'!$F$5:$F$351,MATCH($C124,'1. NhapKho'!$C$5:$C$351,0)),"")</f>
        <v/>
      </c>
      <c r="K124" s="24"/>
    </row>
    <row r="125" spans="1:11" x14ac:dyDescent="0.2">
      <c r="A125" s="31"/>
      <c r="B125" s="32"/>
      <c r="C125" s="32"/>
      <c r="D125" s="24"/>
      <c r="E125" s="24"/>
      <c r="F125" s="33"/>
      <c r="G125" s="22" t="str">
        <f>IFERROR(INDEX('1. NhapKho'!$I$5:$I$351,MATCH($C125,'1. NhapKho'!$C$5:$C$351,0)),"")</f>
        <v/>
      </c>
      <c r="H125" s="34" t="str">
        <f>IFERROR(INDEX('1. NhapKho'!$G$5:$G$351,MATCH($C125,'1. NhapKho'!$C$5:$C$351,0)),"")</f>
        <v/>
      </c>
      <c r="I125" s="35" t="str">
        <f t="shared" si="1"/>
        <v/>
      </c>
      <c r="J125" s="36" t="str">
        <f>IFERROR(INDEX('1. NhapKho'!$F$5:$F$351,MATCH($C125,'1. NhapKho'!$C$5:$C$351,0)),"")</f>
        <v/>
      </c>
      <c r="K125" s="24"/>
    </row>
    <row r="126" spans="1:11" x14ac:dyDescent="0.2">
      <c r="A126" s="31"/>
      <c r="B126" s="32"/>
      <c r="C126" s="32"/>
      <c r="D126" s="24"/>
      <c r="E126" s="24"/>
      <c r="F126" s="33"/>
      <c r="G126" s="22" t="str">
        <f>IFERROR(INDEX('1. NhapKho'!$I$5:$I$351,MATCH($C126,'1. NhapKho'!$C$5:$C$351,0)),"")</f>
        <v/>
      </c>
      <c r="H126" s="34" t="str">
        <f>IFERROR(INDEX('1. NhapKho'!$G$5:$G$351,MATCH($C126,'1. NhapKho'!$C$5:$C$351,0)),"")</f>
        <v/>
      </c>
      <c r="I126" s="35" t="str">
        <f t="shared" si="1"/>
        <v/>
      </c>
      <c r="J126" s="36" t="str">
        <f>IFERROR(INDEX('1. NhapKho'!$F$5:$F$351,MATCH($C126,'1. NhapKho'!$C$5:$C$351,0)),"")</f>
        <v/>
      </c>
      <c r="K126" s="24"/>
    </row>
    <row r="127" spans="1:11" x14ac:dyDescent="0.2">
      <c r="A127" s="31"/>
      <c r="B127" s="32"/>
      <c r="C127" s="32"/>
      <c r="D127" s="24"/>
      <c r="E127" s="24"/>
      <c r="F127" s="33"/>
      <c r="G127" s="22" t="str">
        <f>IFERROR(INDEX('1. NhapKho'!$I$5:$I$351,MATCH($C127,'1. NhapKho'!$C$5:$C$351,0)),"")</f>
        <v/>
      </c>
      <c r="H127" s="34" t="str">
        <f>IFERROR(INDEX('1. NhapKho'!$G$5:$G$351,MATCH($C127,'1. NhapKho'!$C$5:$C$351,0)),"")</f>
        <v/>
      </c>
      <c r="I127" s="35" t="str">
        <f t="shared" si="1"/>
        <v/>
      </c>
      <c r="J127" s="36" t="str">
        <f>IFERROR(INDEX('1. NhapKho'!$F$5:$F$351,MATCH($C127,'1. NhapKho'!$C$5:$C$351,0)),"")</f>
        <v/>
      </c>
      <c r="K127" s="24"/>
    </row>
    <row r="128" spans="1:11" x14ac:dyDescent="0.2">
      <c r="A128" s="31"/>
      <c r="B128" s="32"/>
      <c r="C128" s="32"/>
      <c r="D128" s="24"/>
      <c r="E128" s="24"/>
      <c r="F128" s="33"/>
      <c r="G128" s="22" t="str">
        <f>IFERROR(INDEX('1. NhapKho'!$I$5:$I$351,MATCH($C128,'1. NhapKho'!$C$5:$C$351,0)),"")</f>
        <v/>
      </c>
      <c r="H128" s="34" t="str">
        <f>IFERROR(INDEX('1. NhapKho'!$G$5:$G$351,MATCH($C128,'1. NhapKho'!$C$5:$C$351,0)),"")</f>
        <v/>
      </c>
      <c r="I128" s="35" t="str">
        <f t="shared" si="1"/>
        <v/>
      </c>
      <c r="J128" s="36" t="str">
        <f>IFERROR(INDEX('1. NhapKho'!$F$5:$F$351,MATCH($C128,'1. NhapKho'!$C$5:$C$351,0)),"")</f>
        <v/>
      </c>
      <c r="K128" s="24"/>
    </row>
    <row r="129" spans="1:11" x14ac:dyDescent="0.2">
      <c r="A129" s="31"/>
      <c r="B129" s="32"/>
      <c r="C129" s="32"/>
      <c r="D129" s="24"/>
      <c r="E129" s="24"/>
      <c r="F129" s="33"/>
      <c r="G129" s="22" t="str">
        <f>IFERROR(INDEX('1. NhapKho'!$I$5:$I$351,MATCH($C129,'1. NhapKho'!$C$5:$C$351,0)),"")</f>
        <v/>
      </c>
      <c r="H129" s="34" t="str">
        <f>IFERROR(INDEX('1. NhapKho'!$G$5:$G$351,MATCH($C129,'1. NhapKho'!$C$5:$C$351,0)),"")</f>
        <v/>
      </c>
      <c r="I129" s="35" t="str">
        <f t="shared" si="1"/>
        <v/>
      </c>
      <c r="J129" s="36" t="str">
        <f>IFERROR(INDEX('1. NhapKho'!$F$5:$F$351,MATCH($C129,'1. NhapKho'!$C$5:$C$351,0)),"")</f>
        <v/>
      </c>
      <c r="K129" s="24"/>
    </row>
    <row r="130" spans="1:11" x14ac:dyDescent="0.2">
      <c r="A130" s="31"/>
      <c r="B130" s="32"/>
      <c r="C130" s="32"/>
      <c r="D130" s="24"/>
      <c r="E130" s="24"/>
      <c r="F130" s="33"/>
      <c r="G130" s="22" t="str">
        <f>IFERROR(INDEX('1. NhapKho'!$I$5:$I$351,MATCH($C130,'1. NhapKho'!$C$5:$C$351,0)),"")</f>
        <v/>
      </c>
      <c r="H130" s="34" t="str">
        <f>IFERROR(INDEX('1. NhapKho'!$G$5:$G$351,MATCH($C130,'1. NhapKho'!$C$5:$C$351,0)),"")</f>
        <v/>
      </c>
      <c r="I130" s="35" t="str">
        <f t="shared" si="1"/>
        <v/>
      </c>
      <c r="J130" s="36" t="str">
        <f>IFERROR(INDEX('1. NhapKho'!$F$5:$F$351,MATCH($C130,'1. NhapKho'!$C$5:$C$351,0)),"")</f>
        <v/>
      </c>
      <c r="K130" s="24"/>
    </row>
    <row r="131" spans="1:11" x14ac:dyDescent="0.2">
      <c r="A131" s="31"/>
      <c r="B131" s="32"/>
      <c r="C131" s="32"/>
      <c r="D131" s="24"/>
      <c r="E131" s="24"/>
      <c r="F131" s="33"/>
      <c r="G131" s="22" t="str">
        <f>IFERROR(INDEX('1. NhapKho'!$I$5:$I$351,MATCH($C131,'1. NhapKho'!$C$5:$C$351,0)),"")</f>
        <v/>
      </c>
      <c r="H131" s="34" t="str">
        <f>IFERROR(INDEX('1. NhapKho'!$G$5:$G$351,MATCH($C131,'1. NhapKho'!$C$5:$C$351,0)),"")</f>
        <v/>
      </c>
      <c r="I131" s="35" t="str">
        <f t="shared" si="1"/>
        <v/>
      </c>
      <c r="J131" s="36" t="str">
        <f>IFERROR(INDEX('1. NhapKho'!$F$5:$F$351,MATCH($C131,'1. NhapKho'!$C$5:$C$351,0)),"")</f>
        <v/>
      </c>
      <c r="K131" s="24"/>
    </row>
    <row r="132" spans="1:11" x14ac:dyDescent="0.2">
      <c r="A132" s="31"/>
      <c r="B132" s="32"/>
      <c r="C132" s="32"/>
      <c r="D132" s="24"/>
      <c r="E132" s="24"/>
      <c r="F132" s="33"/>
      <c r="G132" s="22" t="str">
        <f>IFERROR(INDEX('1. NhapKho'!$I$5:$I$351,MATCH($C132,'1. NhapKho'!$C$5:$C$351,0)),"")</f>
        <v/>
      </c>
      <c r="H132" s="34" t="str">
        <f>IFERROR(INDEX('1. NhapKho'!$G$5:$G$351,MATCH($C132,'1. NhapKho'!$C$5:$C$351,0)),"")</f>
        <v/>
      </c>
      <c r="I132" s="35" t="str">
        <f t="shared" si="1"/>
        <v/>
      </c>
      <c r="J132" s="36" t="str">
        <f>IFERROR(INDEX('1. NhapKho'!$F$5:$F$351,MATCH($C132,'1. NhapKho'!$C$5:$C$351,0)),"")</f>
        <v/>
      </c>
      <c r="K132" s="24"/>
    </row>
    <row r="133" spans="1:11" x14ac:dyDescent="0.2">
      <c r="A133" s="31"/>
      <c r="B133" s="32"/>
      <c r="C133" s="32"/>
      <c r="D133" s="24"/>
      <c r="E133" s="24"/>
      <c r="F133" s="33"/>
      <c r="G133" s="22" t="str">
        <f>IFERROR(INDEX('1. NhapKho'!$I$5:$I$351,MATCH($C133,'1. NhapKho'!$C$5:$C$351,0)),"")</f>
        <v/>
      </c>
      <c r="H133" s="34" t="str">
        <f>IFERROR(INDEX('1. NhapKho'!$G$5:$G$351,MATCH($C133,'1. NhapKho'!$C$5:$C$351,0)),"")</f>
        <v/>
      </c>
      <c r="I133" s="35" t="str">
        <f t="shared" ref="I133:I196" si="2">IF(OR($C133="",$F133=""),"",$F133*$G133)</f>
        <v/>
      </c>
      <c r="J133" s="36" t="str">
        <f>IFERROR(INDEX('1. NhapKho'!$F$5:$F$351,MATCH($C133,'1. NhapKho'!$C$5:$C$351,0)),"")</f>
        <v/>
      </c>
      <c r="K133" s="24"/>
    </row>
    <row r="134" spans="1:11" x14ac:dyDescent="0.2">
      <c r="A134" s="31"/>
      <c r="B134" s="32"/>
      <c r="C134" s="32"/>
      <c r="D134" s="24"/>
      <c r="E134" s="24"/>
      <c r="F134" s="33"/>
      <c r="G134" s="22" t="str">
        <f>IFERROR(INDEX('1. NhapKho'!$I$5:$I$351,MATCH($C134,'1. NhapKho'!$C$5:$C$351,0)),"")</f>
        <v/>
      </c>
      <c r="H134" s="34" t="str">
        <f>IFERROR(INDEX('1. NhapKho'!$G$5:$G$351,MATCH($C134,'1. NhapKho'!$C$5:$C$351,0)),"")</f>
        <v/>
      </c>
      <c r="I134" s="35" t="str">
        <f t="shared" si="2"/>
        <v/>
      </c>
      <c r="J134" s="36" t="str">
        <f>IFERROR(INDEX('1. NhapKho'!$F$5:$F$351,MATCH($C134,'1. NhapKho'!$C$5:$C$351,0)),"")</f>
        <v/>
      </c>
      <c r="K134" s="24"/>
    </row>
    <row r="135" spans="1:11" x14ac:dyDescent="0.2">
      <c r="A135" s="31"/>
      <c r="B135" s="32"/>
      <c r="C135" s="32"/>
      <c r="D135" s="24"/>
      <c r="E135" s="24"/>
      <c r="F135" s="33"/>
      <c r="G135" s="22" t="str">
        <f>IFERROR(INDEX('1. NhapKho'!$I$5:$I$351,MATCH($C135,'1. NhapKho'!$C$5:$C$351,0)),"")</f>
        <v/>
      </c>
      <c r="H135" s="34" t="str">
        <f>IFERROR(INDEX('1. NhapKho'!$G$5:$G$351,MATCH($C135,'1. NhapKho'!$C$5:$C$351,0)),"")</f>
        <v/>
      </c>
      <c r="I135" s="35" t="str">
        <f t="shared" si="2"/>
        <v/>
      </c>
      <c r="J135" s="36" t="str">
        <f>IFERROR(INDEX('1. NhapKho'!$F$5:$F$351,MATCH($C135,'1. NhapKho'!$C$5:$C$351,0)),"")</f>
        <v/>
      </c>
      <c r="K135" s="24"/>
    </row>
    <row r="136" spans="1:11" x14ac:dyDescent="0.2">
      <c r="A136" s="31"/>
      <c r="B136" s="32"/>
      <c r="C136" s="32"/>
      <c r="D136" s="24"/>
      <c r="E136" s="24"/>
      <c r="F136" s="33"/>
      <c r="G136" s="22" t="str">
        <f>IFERROR(INDEX('1. NhapKho'!$I$5:$I$351,MATCH($C136,'1. NhapKho'!$C$5:$C$351,0)),"")</f>
        <v/>
      </c>
      <c r="H136" s="34" t="str">
        <f>IFERROR(INDEX('1. NhapKho'!$G$5:$G$351,MATCH($C136,'1. NhapKho'!$C$5:$C$351,0)),"")</f>
        <v/>
      </c>
      <c r="I136" s="35" t="str">
        <f t="shared" si="2"/>
        <v/>
      </c>
      <c r="J136" s="36" t="str">
        <f>IFERROR(INDEX('1. NhapKho'!$F$5:$F$351,MATCH($C136,'1. NhapKho'!$C$5:$C$351,0)),"")</f>
        <v/>
      </c>
      <c r="K136" s="24"/>
    </row>
    <row r="137" spans="1:11" x14ac:dyDescent="0.2">
      <c r="A137" s="31"/>
      <c r="B137" s="32"/>
      <c r="C137" s="32"/>
      <c r="D137" s="24"/>
      <c r="E137" s="24"/>
      <c r="F137" s="33"/>
      <c r="G137" s="22" t="str">
        <f>IFERROR(INDEX('1. NhapKho'!$I$5:$I$351,MATCH($C137,'1. NhapKho'!$C$5:$C$351,0)),"")</f>
        <v/>
      </c>
      <c r="H137" s="34" t="str">
        <f>IFERROR(INDEX('1. NhapKho'!$G$5:$G$351,MATCH($C137,'1. NhapKho'!$C$5:$C$351,0)),"")</f>
        <v/>
      </c>
      <c r="I137" s="35" t="str">
        <f t="shared" si="2"/>
        <v/>
      </c>
      <c r="J137" s="36" t="str">
        <f>IFERROR(INDEX('1. NhapKho'!$F$5:$F$351,MATCH($C137,'1. NhapKho'!$C$5:$C$351,0)),"")</f>
        <v/>
      </c>
      <c r="K137" s="24"/>
    </row>
    <row r="138" spans="1:11" x14ac:dyDescent="0.2">
      <c r="A138" s="31"/>
      <c r="B138" s="32"/>
      <c r="C138" s="32"/>
      <c r="D138" s="24"/>
      <c r="E138" s="24"/>
      <c r="F138" s="33"/>
      <c r="G138" s="22" t="str">
        <f>IFERROR(INDEX('1. NhapKho'!$I$5:$I$351,MATCH($C138,'1. NhapKho'!$C$5:$C$351,0)),"")</f>
        <v/>
      </c>
      <c r="H138" s="34" t="str">
        <f>IFERROR(INDEX('1. NhapKho'!$G$5:$G$351,MATCH($C138,'1. NhapKho'!$C$5:$C$351,0)),"")</f>
        <v/>
      </c>
      <c r="I138" s="35" t="str">
        <f t="shared" si="2"/>
        <v/>
      </c>
      <c r="J138" s="36" t="str">
        <f>IFERROR(INDEX('1. NhapKho'!$F$5:$F$351,MATCH($C138,'1. NhapKho'!$C$5:$C$351,0)),"")</f>
        <v/>
      </c>
      <c r="K138" s="24"/>
    </row>
    <row r="139" spans="1:11" x14ac:dyDescent="0.2">
      <c r="A139" s="31"/>
      <c r="B139" s="32"/>
      <c r="C139" s="32"/>
      <c r="D139" s="24"/>
      <c r="E139" s="24"/>
      <c r="F139" s="33"/>
      <c r="G139" s="22" t="str">
        <f>IFERROR(INDEX('1. NhapKho'!$I$5:$I$351,MATCH($C139,'1. NhapKho'!$C$5:$C$351,0)),"")</f>
        <v/>
      </c>
      <c r="H139" s="34" t="str">
        <f>IFERROR(INDEX('1. NhapKho'!$G$5:$G$351,MATCH($C139,'1. NhapKho'!$C$5:$C$351,0)),"")</f>
        <v/>
      </c>
      <c r="I139" s="35" t="str">
        <f t="shared" si="2"/>
        <v/>
      </c>
      <c r="J139" s="36" t="str">
        <f>IFERROR(INDEX('1. NhapKho'!$F$5:$F$351,MATCH($C139,'1. NhapKho'!$C$5:$C$351,0)),"")</f>
        <v/>
      </c>
      <c r="K139" s="24"/>
    </row>
    <row r="140" spans="1:11" x14ac:dyDescent="0.2">
      <c r="A140" s="31"/>
      <c r="B140" s="32"/>
      <c r="C140" s="32"/>
      <c r="D140" s="24"/>
      <c r="E140" s="24"/>
      <c r="F140" s="33"/>
      <c r="G140" s="22" t="str">
        <f>IFERROR(INDEX('1. NhapKho'!$I$5:$I$351,MATCH($C140,'1. NhapKho'!$C$5:$C$351,0)),"")</f>
        <v/>
      </c>
      <c r="H140" s="34" t="str">
        <f>IFERROR(INDEX('1. NhapKho'!$G$5:$G$351,MATCH($C140,'1. NhapKho'!$C$5:$C$351,0)),"")</f>
        <v/>
      </c>
      <c r="I140" s="35" t="str">
        <f t="shared" si="2"/>
        <v/>
      </c>
      <c r="J140" s="36" t="str">
        <f>IFERROR(INDEX('1. NhapKho'!$F$5:$F$351,MATCH($C140,'1. NhapKho'!$C$5:$C$351,0)),"")</f>
        <v/>
      </c>
      <c r="K140" s="24"/>
    </row>
    <row r="141" spans="1:11" x14ac:dyDescent="0.2">
      <c r="A141" s="31"/>
      <c r="B141" s="32"/>
      <c r="C141" s="32"/>
      <c r="D141" s="24"/>
      <c r="E141" s="24"/>
      <c r="F141" s="33"/>
      <c r="G141" s="22" t="str">
        <f>IFERROR(INDEX('1. NhapKho'!$I$5:$I$351,MATCH($C141,'1. NhapKho'!$C$5:$C$351,0)),"")</f>
        <v/>
      </c>
      <c r="H141" s="34" t="str">
        <f>IFERROR(INDEX('1. NhapKho'!$G$5:$G$351,MATCH($C141,'1. NhapKho'!$C$5:$C$351,0)),"")</f>
        <v/>
      </c>
      <c r="I141" s="35" t="str">
        <f t="shared" si="2"/>
        <v/>
      </c>
      <c r="J141" s="36" t="str">
        <f>IFERROR(INDEX('1. NhapKho'!$F$5:$F$351,MATCH($C141,'1. NhapKho'!$C$5:$C$351,0)),"")</f>
        <v/>
      </c>
      <c r="K141" s="24"/>
    </row>
    <row r="142" spans="1:11" x14ac:dyDescent="0.2">
      <c r="A142" s="31"/>
      <c r="B142" s="32"/>
      <c r="C142" s="32"/>
      <c r="D142" s="24"/>
      <c r="E142" s="24"/>
      <c r="F142" s="33"/>
      <c r="G142" s="22" t="str">
        <f>IFERROR(INDEX('1. NhapKho'!$I$5:$I$351,MATCH($C142,'1. NhapKho'!$C$5:$C$351,0)),"")</f>
        <v/>
      </c>
      <c r="H142" s="34" t="str">
        <f>IFERROR(INDEX('1. NhapKho'!$G$5:$G$351,MATCH($C142,'1. NhapKho'!$C$5:$C$351,0)),"")</f>
        <v/>
      </c>
      <c r="I142" s="35" t="str">
        <f t="shared" si="2"/>
        <v/>
      </c>
      <c r="J142" s="36" t="str">
        <f>IFERROR(INDEX('1. NhapKho'!$F$5:$F$351,MATCH($C142,'1. NhapKho'!$C$5:$C$351,0)),"")</f>
        <v/>
      </c>
      <c r="K142" s="24"/>
    </row>
    <row r="143" spans="1:11" x14ac:dyDescent="0.2">
      <c r="A143" s="31"/>
      <c r="B143" s="32"/>
      <c r="C143" s="32"/>
      <c r="D143" s="24"/>
      <c r="E143" s="24"/>
      <c r="F143" s="33"/>
      <c r="G143" s="22" t="str">
        <f>IFERROR(INDEX('1. NhapKho'!$I$5:$I$351,MATCH($C143,'1. NhapKho'!$C$5:$C$351,0)),"")</f>
        <v/>
      </c>
      <c r="H143" s="34" t="str">
        <f>IFERROR(INDEX('1. NhapKho'!$G$5:$G$351,MATCH($C143,'1. NhapKho'!$C$5:$C$351,0)),"")</f>
        <v/>
      </c>
      <c r="I143" s="35" t="str">
        <f t="shared" si="2"/>
        <v/>
      </c>
      <c r="J143" s="36" t="str">
        <f>IFERROR(INDEX('1. NhapKho'!$F$5:$F$351,MATCH($C143,'1. NhapKho'!$C$5:$C$351,0)),"")</f>
        <v/>
      </c>
      <c r="K143" s="24"/>
    </row>
    <row r="144" spans="1:11" x14ac:dyDescent="0.2">
      <c r="A144" s="31"/>
      <c r="B144" s="32"/>
      <c r="C144" s="32"/>
      <c r="D144" s="24"/>
      <c r="E144" s="24"/>
      <c r="F144" s="33"/>
      <c r="G144" s="22" t="str">
        <f>IFERROR(INDEX('1. NhapKho'!$I$5:$I$351,MATCH($C144,'1. NhapKho'!$C$5:$C$351,0)),"")</f>
        <v/>
      </c>
      <c r="H144" s="34" t="str">
        <f>IFERROR(INDEX('1. NhapKho'!$G$5:$G$351,MATCH($C144,'1. NhapKho'!$C$5:$C$351,0)),"")</f>
        <v/>
      </c>
      <c r="I144" s="35" t="str">
        <f t="shared" si="2"/>
        <v/>
      </c>
      <c r="J144" s="36" t="str">
        <f>IFERROR(INDEX('1. NhapKho'!$F$5:$F$351,MATCH($C144,'1. NhapKho'!$C$5:$C$351,0)),"")</f>
        <v/>
      </c>
      <c r="K144" s="24"/>
    </row>
    <row r="145" spans="1:11" x14ac:dyDescent="0.2">
      <c r="A145" s="31"/>
      <c r="B145" s="32"/>
      <c r="C145" s="32"/>
      <c r="D145" s="24"/>
      <c r="E145" s="24"/>
      <c r="F145" s="33"/>
      <c r="G145" s="22" t="str">
        <f>IFERROR(INDEX('1. NhapKho'!$I$5:$I$351,MATCH($C145,'1. NhapKho'!$C$5:$C$351,0)),"")</f>
        <v/>
      </c>
      <c r="H145" s="34" t="str">
        <f>IFERROR(INDEX('1. NhapKho'!$G$5:$G$351,MATCH($C145,'1. NhapKho'!$C$5:$C$351,0)),"")</f>
        <v/>
      </c>
      <c r="I145" s="35" t="str">
        <f t="shared" si="2"/>
        <v/>
      </c>
      <c r="J145" s="36" t="str">
        <f>IFERROR(INDEX('1. NhapKho'!$F$5:$F$351,MATCH($C145,'1. NhapKho'!$C$5:$C$351,0)),"")</f>
        <v/>
      </c>
      <c r="K145" s="24"/>
    </row>
    <row r="146" spans="1:11" x14ac:dyDescent="0.2">
      <c r="A146" s="31"/>
      <c r="B146" s="32"/>
      <c r="C146" s="32"/>
      <c r="D146" s="24"/>
      <c r="E146" s="24"/>
      <c r="F146" s="33"/>
      <c r="G146" s="22" t="str">
        <f>IFERROR(INDEX('1. NhapKho'!$I$5:$I$351,MATCH($C146,'1. NhapKho'!$C$5:$C$351,0)),"")</f>
        <v/>
      </c>
      <c r="H146" s="34" t="str">
        <f>IFERROR(INDEX('1. NhapKho'!$G$5:$G$351,MATCH($C146,'1. NhapKho'!$C$5:$C$351,0)),"")</f>
        <v/>
      </c>
      <c r="I146" s="35" t="str">
        <f t="shared" si="2"/>
        <v/>
      </c>
      <c r="J146" s="36" t="str">
        <f>IFERROR(INDEX('1. NhapKho'!$F$5:$F$351,MATCH($C146,'1. NhapKho'!$C$5:$C$351,0)),"")</f>
        <v/>
      </c>
      <c r="K146" s="24"/>
    </row>
    <row r="147" spans="1:11" x14ac:dyDescent="0.2">
      <c r="A147" s="31"/>
      <c r="B147" s="32"/>
      <c r="C147" s="32"/>
      <c r="D147" s="24"/>
      <c r="E147" s="24"/>
      <c r="F147" s="33"/>
      <c r="G147" s="22" t="str">
        <f>IFERROR(INDEX('1. NhapKho'!$I$5:$I$351,MATCH($C147,'1. NhapKho'!$C$5:$C$351,0)),"")</f>
        <v/>
      </c>
      <c r="H147" s="34" t="str">
        <f>IFERROR(INDEX('1. NhapKho'!$G$5:$G$351,MATCH($C147,'1. NhapKho'!$C$5:$C$351,0)),"")</f>
        <v/>
      </c>
      <c r="I147" s="35" t="str">
        <f t="shared" si="2"/>
        <v/>
      </c>
      <c r="J147" s="36" t="str">
        <f>IFERROR(INDEX('1. NhapKho'!$F$5:$F$351,MATCH($C147,'1. NhapKho'!$C$5:$C$351,0)),"")</f>
        <v/>
      </c>
      <c r="K147" s="24"/>
    </row>
    <row r="148" spans="1:11" x14ac:dyDescent="0.2">
      <c r="A148" s="31"/>
      <c r="B148" s="32"/>
      <c r="C148" s="32"/>
      <c r="D148" s="24"/>
      <c r="E148" s="24"/>
      <c r="F148" s="33"/>
      <c r="G148" s="22" t="str">
        <f>IFERROR(INDEX('1. NhapKho'!$I$5:$I$351,MATCH($C148,'1. NhapKho'!$C$5:$C$351,0)),"")</f>
        <v/>
      </c>
      <c r="H148" s="34" t="str">
        <f>IFERROR(INDEX('1. NhapKho'!$G$5:$G$351,MATCH($C148,'1. NhapKho'!$C$5:$C$351,0)),"")</f>
        <v/>
      </c>
      <c r="I148" s="35" t="str">
        <f t="shared" si="2"/>
        <v/>
      </c>
      <c r="J148" s="36" t="str">
        <f>IFERROR(INDEX('1. NhapKho'!$F$5:$F$351,MATCH($C148,'1. NhapKho'!$C$5:$C$351,0)),"")</f>
        <v/>
      </c>
      <c r="K148" s="24"/>
    </row>
    <row r="149" spans="1:11" x14ac:dyDescent="0.2">
      <c r="A149" s="31"/>
      <c r="B149" s="32"/>
      <c r="C149" s="32"/>
      <c r="D149" s="24"/>
      <c r="E149" s="24"/>
      <c r="F149" s="33"/>
      <c r="G149" s="22" t="str">
        <f>IFERROR(INDEX('1. NhapKho'!$I$5:$I$351,MATCH($C149,'1. NhapKho'!$C$5:$C$351,0)),"")</f>
        <v/>
      </c>
      <c r="H149" s="34" t="str">
        <f>IFERROR(INDEX('1. NhapKho'!$G$5:$G$351,MATCH($C149,'1. NhapKho'!$C$5:$C$351,0)),"")</f>
        <v/>
      </c>
      <c r="I149" s="35" t="str">
        <f t="shared" si="2"/>
        <v/>
      </c>
      <c r="J149" s="36" t="str">
        <f>IFERROR(INDEX('1. NhapKho'!$F$5:$F$351,MATCH($C149,'1. NhapKho'!$C$5:$C$351,0)),"")</f>
        <v/>
      </c>
      <c r="K149" s="24"/>
    </row>
    <row r="150" spans="1:11" x14ac:dyDescent="0.2">
      <c r="A150" s="31"/>
      <c r="B150" s="32"/>
      <c r="C150" s="32"/>
      <c r="D150" s="24"/>
      <c r="E150" s="24"/>
      <c r="F150" s="33"/>
      <c r="G150" s="22" t="str">
        <f>IFERROR(INDEX('1. NhapKho'!$I$5:$I$351,MATCH($C150,'1. NhapKho'!$C$5:$C$351,0)),"")</f>
        <v/>
      </c>
      <c r="H150" s="34" t="str">
        <f>IFERROR(INDEX('1. NhapKho'!$G$5:$G$351,MATCH($C150,'1. NhapKho'!$C$5:$C$351,0)),"")</f>
        <v/>
      </c>
      <c r="I150" s="35" t="str">
        <f t="shared" si="2"/>
        <v/>
      </c>
      <c r="J150" s="36" t="str">
        <f>IFERROR(INDEX('1. NhapKho'!$F$5:$F$351,MATCH($C150,'1. NhapKho'!$C$5:$C$351,0)),"")</f>
        <v/>
      </c>
      <c r="K150" s="24"/>
    </row>
    <row r="151" spans="1:11" x14ac:dyDescent="0.2">
      <c r="A151" s="31"/>
      <c r="B151" s="32"/>
      <c r="C151" s="32"/>
      <c r="D151" s="24"/>
      <c r="E151" s="24"/>
      <c r="F151" s="33"/>
      <c r="G151" s="22" t="str">
        <f>IFERROR(INDEX('1. NhapKho'!$I$5:$I$351,MATCH($C151,'1. NhapKho'!$C$5:$C$351,0)),"")</f>
        <v/>
      </c>
      <c r="H151" s="34" t="str">
        <f>IFERROR(INDEX('1. NhapKho'!$G$5:$G$351,MATCH($C151,'1. NhapKho'!$C$5:$C$351,0)),"")</f>
        <v/>
      </c>
      <c r="I151" s="35" t="str">
        <f t="shared" si="2"/>
        <v/>
      </c>
      <c r="J151" s="36" t="str">
        <f>IFERROR(INDEX('1. NhapKho'!$F$5:$F$351,MATCH($C151,'1. NhapKho'!$C$5:$C$351,0)),"")</f>
        <v/>
      </c>
      <c r="K151" s="24"/>
    </row>
    <row r="152" spans="1:11" x14ac:dyDescent="0.2">
      <c r="A152" s="31"/>
      <c r="B152" s="32"/>
      <c r="C152" s="32"/>
      <c r="D152" s="24"/>
      <c r="E152" s="24"/>
      <c r="F152" s="33"/>
      <c r="G152" s="22" t="str">
        <f>IFERROR(INDEX('1. NhapKho'!$I$5:$I$351,MATCH($C152,'1. NhapKho'!$C$5:$C$351,0)),"")</f>
        <v/>
      </c>
      <c r="H152" s="34" t="str">
        <f>IFERROR(INDEX('1. NhapKho'!$G$5:$G$351,MATCH($C152,'1. NhapKho'!$C$5:$C$351,0)),"")</f>
        <v/>
      </c>
      <c r="I152" s="35" t="str">
        <f t="shared" si="2"/>
        <v/>
      </c>
      <c r="J152" s="36" t="str">
        <f>IFERROR(INDEX('1. NhapKho'!$F$5:$F$351,MATCH($C152,'1. NhapKho'!$C$5:$C$351,0)),"")</f>
        <v/>
      </c>
      <c r="K152" s="24"/>
    </row>
    <row r="153" spans="1:11" x14ac:dyDescent="0.2">
      <c r="A153" s="31"/>
      <c r="B153" s="32"/>
      <c r="C153" s="32"/>
      <c r="D153" s="24"/>
      <c r="E153" s="24"/>
      <c r="F153" s="33"/>
      <c r="G153" s="22" t="str">
        <f>IFERROR(INDEX('1. NhapKho'!$I$5:$I$351,MATCH($C153,'1. NhapKho'!$C$5:$C$351,0)),"")</f>
        <v/>
      </c>
      <c r="H153" s="34" t="str">
        <f>IFERROR(INDEX('1. NhapKho'!$G$5:$G$351,MATCH($C153,'1. NhapKho'!$C$5:$C$351,0)),"")</f>
        <v/>
      </c>
      <c r="I153" s="35" t="str">
        <f t="shared" si="2"/>
        <v/>
      </c>
      <c r="J153" s="36" t="str">
        <f>IFERROR(INDEX('1. NhapKho'!$F$5:$F$351,MATCH($C153,'1. NhapKho'!$C$5:$C$351,0)),"")</f>
        <v/>
      </c>
      <c r="K153" s="24"/>
    </row>
    <row r="154" spans="1:11" x14ac:dyDescent="0.2">
      <c r="A154" s="31"/>
      <c r="B154" s="32"/>
      <c r="C154" s="32"/>
      <c r="D154" s="24"/>
      <c r="E154" s="24"/>
      <c r="F154" s="33"/>
      <c r="G154" s="22" t="str">
        <f>IFERROR(INDEX('1. NhapKho'!$I$5:$I$351,MATCH($C154,'1. NhapKho'!$C$5:$C$351,0)),"")</f>
        <v/>
      </c>
      <c r="H154" s="34" t="str">
        <f>IFERROR(INDEX('1. NhapKho'!$G$5:$G$351,MATCH($C154,'1. NhapKho'!$C$5:$C$351,0)),"")</f>
        <v/>
      </c>
      <c r="I154" s="35" t="str">
        <f t="shared" si="2"/>
        <v/>
      </c>
      <c r="J154" s="36" t="str">
        <f>IFERROR(INDEX('1. NhapKho'!$F$5:$F$351,MATCH($C154,'1. NhapKho'!$C$5:$C$351,0)),"")</f>
        <v/>
      </c>
      <c r="K154" s="24"/>
    </row>
    <row r="155" spans="1:11" x14ac:dyDescent="0.2">
      <c r="A155" s="31"/>
      <c r="B155" s="32"/>
      <c r="C155" s="32"/>
      <c r="D155" s="24"/>
      <c r="E155" s="24"/>
      <c r="F155" s="33"/>
      <c r="G155" s="22" t="str">
        <f>IFERROR(INDEX('1. NhapKho'!$I$5:$I$351,MATCH($C155,'1. NhapKho'!$C$5:$C$351,0)),"")</f>
        <v/>
      </c>
      <c r="H155" s="34" t="str">
        <f>IFERROR(INDEX('1. NhapKho'!$G$5:$G$351,MATCH($C155,'1. NhapKho'!$C$5:$C$351,0)),"")</f>
        <v/>
      </c>
      <c r="I155" s="35" t="str">
        <f t="shared" si="2"/>
        <v/>
      </c>
      <c r="J155" s="36" t="str">
        <f>IFERROR(INDEX('1. NhapKho'!$F$5:$F$351,MATCH($C155,'1. NhapKho'!$C$5:$C$351,0)),"")</f>
        <v/>
      </c>
      <c r="K155" s="24"/>
    </row>
    <row r="156" spans="1:11" x14ac:dyDescent="0.2">
      <c r="A156" s="31"/>
      <c r="B156" s="32"/>
      <c r="C156" s="32"/>
      <c r="D156" s="24"/>
      <c r="E156" s="24"/>
      <c r="F156" s="33"/>
      <c r="G156" s="22" t="str">
        <f>IFERROR(INDEX('1. NhapKho'!$I$5:$I$351,MATCH($C156,'1. NhapKho'!$C$5:$C$351,0)),"")</f>
        <v/>
      </c>
      <c r="H156" s="34" t="str">
        <f>IFERROR(INDEX('1. NhapKho'!$G$5:$G$351,MATCH($C156,'1. NhapKho'!$C$5:$C$351,0)),"")</f>
        <v/>
      </c>
      <c r="I156" s="35" t="str">
        <f t="shared" si="2"/>
        <v/>
      </c>
      <c r="J156" s="36" t="str">
        <f>IFERROR(INDEX('1. NhapKho'!$F$5:$F$351,MATCH($C156,'1. NhapKho'!$C$5:$C$351,0)),"")</f>
        <v/>
      </c>
      <c r="K156" s="24"/>
    </row>
    <row r="157" spans="1:11" x14ac:dyDescent="0.2">
      <c r="A157" s="31"/>
      <c r="B157" s="32"/>
      <c r="C157" s="32"/>
      <c r="D157" s="24"/>
      <c r="E157" s="24"/>
      <c r="F157" s="33"/>
      <c r="G157" s="22" t="str">
        <f>IFERROR(INDEX('1. NhapKho'!$I$5:$I$351,MATCH($C157,'1. NhapKho'!$C$5:$C$351,0)),"")</f>
        <v/>
      </c>
      <c r="H157" s="34" t="str">
        <f>IFERROR(INDEX('1. NhapKho'!$G$5:$G$351,MATCH($C157,'1. NhapKho'!$C$5:$C$351,0)),"")</f>
        <v/>
      </c>
      <c r="I157" s="35" t="str">
        <f t="shared" si="2"/>
        <v/>
      </c>
      <c r="J157" s="36" t="str">
        <f>IFERROR(INDEX('1. NhapKho'!$F$5:$F$351,MATCH($C157,'1. NhapKho'!$C$5:$C$351,0)),"")</f>
        <v/>
      </c>
      <c r="K157" s="24"/>
    </row>
    <row r="158" spans="1:11" x14ac:dyDescent="0.2">
      <c r="A158" s="31"/>
      <c r="B158" s="32"/>
      <c r="C158" s="32"/>
      <c r="D158" s="24"/>
      <c r="E158" s="24"/>
      <c r="F158" s="33"/>
      <c r="G158" s="22" t="str">
        <f>IFERROR(INDEX('1. NhapKho'!$I$5:$I$351,MATCH($C158,'1. NhapKho'!$C$5:$C$351,0)),"")</f>
        <v/>
      </c>
      <c r="H158" s="34" t="str">
        <f>IFERROR(INDEX('1. NhapKho'!$G$5:$G$351,MATCH($C158,'1. NhapKho'!$C$5:$C$351,0)),"")</f>
        <v/>
      </c>
      <c r="I158" s="35" t="str">
        <f t="shared" si="2"/>
        <v/>
      </c>
      <c r="J158" s="36" t="str">
        <f>IFERROR(INDEX('1. NhapKho'!$F$5:$F$351,MATCH($C158,'1. NhapKho'!$C$5:$C$351,0)),"")</f>
        <v/>
      </c>
      <c r="K158" s="24"/>
    </row>
    <row r="159" spans="1:11" x14ac:dyDescent="0.2">
      <c r="A159" s="31"/>
      <c r="B159" s="32"/>
      <c r="C159" s="32"/>
      <c r="D159" s="24"/>
      <c r="E159" s="24"/>
      <c r="F159" s="33"/>
      <c r="G159" s="22" t="str">
        <f>IFERROR(INDEX('1. NhapKho'!$I$5:$I$351,MATCH($C159,'1. NhapKho'!$C$5:$C$351,0)),"")</f>
        <v/>
      </c>
      <c r="H159" s="34" t="str">
        <f>IFERROR(INDEX('1. NhapKho'!$G$5:$G$351,MATCH($C159,'1. NhapKho'!$C$5:$C$351,0)),"")</f>
        <v/>
      </c>
      <c r="I159" s="35" t="str">
        <f t="shared" si="2"/>
        <v/>
      </c>
      <c r="J159" s="36" t="str">
        <f>IFERROR(INDEX('1. NhapKho'!$F$5:$F$351,MATCH($C159,'1. NhapKho'!$C$5:$C$351,0)),"")</f>
        <v/>
      </c>
      <c r="K159" s="24"/>
    </row>
    <row r="160" spans="1:11" x14ac:dyDescent="0.2">
      <c r="A160" s="31"/>
      <c r="B160" s="32"/>
      <c r="C160" s="32"/>
      <c r="D160" s="24"/>
      <c r="E160" s="24"/>
      <c r="F160" s="33"/>
      <c r="G160" s="22" t="str">
        <f>IFERROR(INDEX('1. NhapKho'!$I$5:$I$351,MATCH($C160,'1. NhapKho'!$C$5:$C$351,0)),"")</f>
        <v/>
      </c>
      <c r="H160" s="34" t="str">
        <f>IFERROR(INDEX('1. NhapKho'!$G$5:$G$351,MATCH($C160,'1. NhapKho'!$C$5:$C$351,0)),"")</f>
        <v/>
      </c>
      <c r="I160" s="35" t="str">
        <f t="shared" si="2"/>
        <v/>
      </c>
      <c r="J160" s="36" t="str">
        <f>IFERROR(INDEX('1. NhapKho'!$F$5:$F$351,MATCH($C160,'1. NhapKho'!$C$5:$C$351,0)),"")</f>
        <v/>
      </c>
      <c r="K160" s="24"/>
    </row>
    <row r="161" spans="1:11" x14ac:dyDescent="0.2">
      <c r="A161" s="31"/>
      <c r="B161" s="32"/>
      <c r="C161" s="32"/>
      <c r="D161" s="24"/>
      <c r="E161" s="24"/>
      <c r="F161" s="33"/>
      <c r="G161" s="22" t="str">
        <f>IFERROR(INDEX('1. NhapKho'!$I$5:$I$351,MATCH($C161,'1. NhapKho'!$C$5:$C$351,0)),"")</f>
        <v/>
      </c>
      <c r="H161" s="34" t="str">
        <f>IFERROR(INDEX('1. NhapKho'!$G$5:$G$351,MATCH($C161,'1. NhapKho'!$C$5:$C$351,0)),"")</f>
        <v/>
      </c>
      <c r="I161" s="35" t="str">
        <f t="shared" si="2"/>
        <v/>
      </c>
      <c r="J161" s="36" t="str">
        <f>IFERROR(INDEX('1. NhapKho'!$F$5:$F$351,MATCH($C161,'1. NhapKho'!$C$5:$C$351,0)),"")</f>
        <v/>
      </c>
      <c r="K161" s="24"/>
    </row>
    <row r="162" spans="1:11" x14ac:dyDescent="0.2">
      <c r="A162" s="31"/>
      <c r="B162" s="32"/>
      <c r="C162" s="32"/>
      <c r="D162" s="24"/>
      <c r="E162" s="24"/>
      <c r="F162" s="33"/>
      <c r="G162" s="22" t="str">
        <f>IFERROR(INDEX('1. NhapKho'!$I$5:$I$351,MATCH($C162,'1. NhapKho'!$C$5:$C$351,0)),"")</f>
        <v/>
      </c>
      <c r="H162" s="34" t="str">
        <f>IFERROR(INDEX('1. NhapKho'!$G$5:$G$351,MATCH($C162,'1. NhapKho'!$C$5:$C$351,0)),"")</f>
        <v/>
      </c>
      <c r="I162" s="35" t="str">
        <f t="shared" si="2"/>
        <v/>
      </c>
      <c r="J162" s="36" t="str">
        <f>IFERROR(INDEX('1. NhapKho'!$F$5:$F$351,MATCH($C162,'1. NhapKho'!$C$5:$C$351,0)),"")</f>
        <v/>
      </c>
      <c r="K162" s="24"/>
    </row>
    <row r="163" spans="1:11" x14ac:dyDescent="0.2">
      <c r="A163" s="31"/>
      <c r="B163" s="32"/>
      <c r="C163" s="32"/>
      <c r="D163" s="24"/>
      <c r="E163" s="24"/>
      <c r="F163" s="33"/>
      <c r="G163" s="22" t="str">
        <f>IFERROR(INDEX('1. NhapKho'!$I$5:$I$351,MATCH($C163,'1. NhapKho'!$C$5:$C$351,0)),"")</f>
        <v/>
      </c>
      <c r="H163" s="34" t="str">
        <f>IFERROR(INDEX('1. NhapKho'!$G$5:$G$351,MATCH($C163,'1. NhapKho'!$C$5:$C$351,0)),"")</f>
        <v/>
      </c>
      <c r="I163" s="35" t="str">
        <f t="shared" si="2"/>
        <v/>
      </c>
      <c r="J163" s="36" t="str">
        <f>IFERROR(INDEX('1. NhapKho'!$F$5:$F$351,MATCH($C163,'1. NhapKho'!$C$5:$C$351,0)),"")</f>
        <v/>
      </c>
      <c r="K163" s="24"/>
    </row>
    <row r="164" spans="1:11" x14ac:dyDescent="0.2">
      <c r="A164" s="31"/>
      <c r="B164" s="32"/>
      <c r="C164" s="32"/>
      <c r="D164" s="24"/>
      <c r="E164" s="24"/>
      <c r="F164" s="33"/>
      <c r="G164" s="22" t="str">
        <f>IFERROR(INDEX('1. NhapKho'!$I$5:$I$351,MATCH($C164,'1. NhapKho'!$C$5:$C$351,0)),"")</f>
        <v/>
      </c>
      <c r="H164" s="34" t="str">
        <f>IFERROR(INDEX('1. NhapKho'!$G$5:$G$351,MATCH($C164,'1. NhapKho'!$C$5:$C$351,0)),"")</f>
        <v/>
      </c>
      <c r="I164" s="35" t="str">
        <f t="shared" si="2"/>
        <v/>
      </c>
      <c r="J164" s="36" t="str">
        <f>IFERROR(INDEX('1. NhapKho'!$F$5:$F$351,MATCH($C164,'1. NhapKho'!$C$5:$C$351,0)),"")</f>
        <v/>
      </c>
      <c r="K164" s="24"/>
    </row>
    <row r="165" spans="1:11" x14ac:dyDescent="0.2">
      <c r="A165" s="31"/>
      <c r="B165" s="32"/>
      <c r="C165" s="32"/>
      <c r="D165" s="24"/>
      <c r="E165" s="24"/>
      <c r="F165" s="33"/>
      <c r="G165" s="22" t="str">
        <f>IFERROR(INDEX('1. NhapKho'!$I$5:$I$351,MATCH($C165,'1. NhapKho'!$C$5:$C$351,0)),"")</f>
        <v/>
      </c>
      <c r="H165" s="34" t="str">
        <f>IFERROR(INDEX('1. NhapKho'!$G$5:$G$351,MATCH($C165,'1. NhapKho'!$C$5:$C$351,0)),"")</f>
        <v/>
      </c>
      <c r="I165" s="35" t="str">
        <f t="shared" si="2"/>
        <v/>
      </c>
      <c r="J165" s="36" t="str">
        <f>IFERROR(INDEX('1. NhapKho'!$F$5:$F$351,MATCH($C165,'1. NhapKho'!$C$5:$C$351,0)),"")</f>
        <v/>
      </c>
      <c r="K165" s="24"/>
    </row>
    <row r="166" spans="1:11" x14ac:dyDescent="0.2">
      <c r="A166" s="31"/>
      <c r="B166" s="32"/>
      <c r="C166" s="32"/>
      <c r="D166" s="24"/>
      <c r="E166" s="24"/>
      <c r="F166" s="33"/>
      <c r="G166" s="22" t="str">
        <f>IFERROR(INDEX('1. NhapKho'!$I$5:$I$351,MATCH($C166,'1. NhapKho'!$C$5:$C$351,0)),"")</f>
        <v/>
      </c>
      <c r="H166" s="34" t="str">
        <f>IFERROR(INDEX('1. NhapKho'!$G$5:$G$351,MATCH($C166,'1. NhapKho'!$C$5:$C$351,0)),"")</f>
        <v/>
      </c>
      <c r="I166" s="35" t="str">
        <f t="shared" si="2"/>
        <v/>
      </c>
      <c r="J166" s="36" t="str">
        <f>IFERROR(INDEX('1. NhapKho'!$F$5:$F$351,MATCH($C166,'1. NhapKho'!$C$5:$C$351,0)),"")</f>
        <v/>
      </c>
      <c r="K166" s="24"/>
    </row>
    <row r="167" spans="1:11" x14ac:dyDescent="0.2">
      <c r="A167" s="31"/>
      <c r="B167" s="32"/>
      <c r="C167" s="32"/>
      <c r="D167" s="24"/>
      <c r="E167" s="24"/>
      <c r="F167" s="33"/>
      <c r="G167" s="22" t="str">
        <f>IFERROR(INDEX('1. NhapKho'!$I$5:$I$351,MATCH($C167,'1. NhapKho'!$C$5:$C$351,0)),"")</f>
        <v/>
      </c>
      <c r="H167" s="34" t="str">
        <f>IFERROR(INDEX('1. NhapKho'!$G$5:$G$351,MATCH($C167,'1. NhapKho'!$C$5:$C$351,0)),"")</f>
        <v/>
      </c>
      <c r="I167" s="35" t="str">
        <f t="shared" si="2"/>
        <v/>
      </c>
      <c r="J167" s="36" t="str">
        <f>IFERROR(INDEX('1. NhapKho'!$F$5:$F$351,MATCH($C167,'1. NhapKho'!$C$5:$C$351,0)),"")</f>
        <v/>
      </c>
      <c r="K167" s="24"/>
    </row>
    <row r="168" spans="1:11" x14ac:dyDescent="0.2">
      <c r="A168" s="31"/>
      <c r="B168" s="32"/>
      <c r="C168" s="32"/>
      <c r="D168" s="24"/>
      <c r="E168" s="24"/>
      <c r="F168" s="33"/>
      <c r="G168" s="22" t="str">
        <f>IFERROR(INDEX('1. NhapKho'!$I$5:$I$351,MATCH($C168,'1. NhapKho'!$C$5:$C$351,0)),"")</f>
        <v/>
      </c>
      <c r="H168" s="34" t="str">
        <f>IFERROR(INDEX('1. NhapKho'!$G$5:$G$351,MATCH($C168,'1. NhapKho'!$C$5:$C$351,0)),"")</f>
        <v/>
      </c>
      <c r="I168" s="35" t="str">
        <f t="shared" si="2"/>
        <v/>
      </c>
      <c r="J168" s="36" t="str">
        <f>IFERROR(INDEX('1. NhapKho'!$F$5:$F$351,MATCH($C168,'1. NhapKho'!$C$5:$C$351,0)),"")</f>
        <v/>
      </c>
      <c r="K168" s="24"/>
    </row>
    <row r="169" spans="1:11" x14ac:dyDescent="0.2">
      <c r="A169" s="31"/>
      <c r="B169" s="32"/>
      <c r="C169" s="32"/>
      <c r="D169" s="24"/>
      <c r="E169" s="24"/>
      <c r="F169" s="33"/>
      <c r="G169" s="22" t="str">
        <f>IFERROR(INDEX('1. NhapKho'!$I$5:$I$351,MATCH($C169,'1. NhapKho'!$C$5:$C$351,0)),"")</f>
        <v/>
      </c>
      <c r="H169" s="34" t="str">
        <f>IFERROR(INDEX('1. NhapKho'!$G$5:$G$351,MATCH($C169,'1. NhapKho'!$C$5:$C$351,0)),"")</f>
        <v/>
      </c>
      <c r="I169" s="35" t="str">
        <f t="shared" si="2"/>
        <v/>
      </c>
      <c r="J169" s="36" t="str">
        <f>IFERROR(INDEX('1. NhapKho'!$F$5:$F$351,MATCH($C169,'1. NhapKho'!$C$5:$C$351,0)),"")</f>
        <v/>
      </c>
      <c r="K169" s="24"/>
    </row>
    <row r="170" spans="1:11" x14ac:dyDescent="0.2">
      <c r="A170" s="31"/>
      <c r="B170" s="32"/>
      <c r="C170" s="32"/>
      <c r="D170" s="24"/>
      <c r="E170" s="24"/>
      <c r="F170" s="33"/>
      <c r="G170" s="22" t="str">
        <f>IFERROR(INDEX('1. NhapKho'!$I$5:$I$351,MATCH($C170,'1. NhapKho'!$C$5:$C$351,0)),"")</f>
        <v/>
      </c>
      <c r="H170" s="34" t="str">
        <f>IFERROR(INDEX('1. NhapKho'!$G$5:$G$351,MATCH($C170,'1. NhapKho'!$C$5:$C$351,0)),"")</f>
        <v/>
      </c>
      <c r="I170" s="35" t="str">
        <f t="shared" si="2"/>
        <v/>
      </c>
      <c r="J170" s="36" t="str">
        <f>IFERROR(INDEX('1. NhapKho'!$F$5:$F$351,MATCH($C170,'1. NhapKho'!$C$5:$C$351,0)),"")</f>
        <v/>
      </c>
      <c r="K170" s="24"/>
    </row>
    <row r="171" spans="1:11" x14ac:dyDescent="0.2">
      <c r="A171" s="31"/>
      <c r="B171" s="32"/>
      <c r="C171" s="32"/>
      <c r="D171" s="24"/>
      <c r="E171" s="24"/>
      <c r="F171" s="33"/>
      <c r="G171" s="22" t="str">
        <f>IFERROR(INDEX('1. NhapKho'!$I$5:$I$351,MATCH($C171,'1. NhapKho'!$C$5:$C$351,0)),"")</f>
        <v/>
      </c>
      <c r="H171" s="34" t="str">
        <f>IFERROR(INDEX('1. NhapKho'!$G$5:$G$351,MATCH($C171,'1. NhapKho'!$C$5:$C$351,0)),"")</f>
        <v/>
      </c>
      <c r="I171" s="35" t="str">
        <f t="shared" si="2"/>
        <v/>
      </c>
      <c r="J171" s="36" t="str">
        <f>IFERROR(INDEX('1. NhapKho'!$F$5:$F$351,MATCH($C171,'1. NhapKho'!$C$5:$C$351,0)),"")</f>
        <v/>
      </c>
      <c r="K171" s="24"/>
    </row>
    <row r="172" spans="1:11" x14ac:dyDescent="0.2">
      <c r="A172" s="31"/>
      <c r="B172" s="32"/>
      <c r="C172" s="32"/>
      <c r="D172" s="24"/>
      <c r="E172" s="24"/>
      <c r="F172" s="33"/>
      <c r="G172" s="22" t="str">
        <f>IFERROR(INDEX('1. NhapKho'!$I$5:$I$351,MATCH($C172,'1. NhapKho'!$C$5:$C$351,0)),"")</f>
        <v/>
      </c>
      <c r="H172" s="34" t="str">
        <f>IFERROR(INDEX('1. NhapKho'!$G$5:$G$351,MATCH($C172,'1. NhapKho'!$C$5:$C$351,0)),"")</f>
        <v/>
      </c>
      <c r="I172" s="35" t="str">
        <f t="shared" si="2"/>
        <v/>
      </c>
      <c r="J172" s="36" t="str">
        <f>IFERROR(INDEX('1. NhapKho'!$F$5:$F$351,MATCH($C172,'1. NhapKho'!$C$5:$C$351,0)),"")</f>
        <v/>
      </c>
      <c r="K172" s="24"/>
    </row>
    <row r="173" spans="1:11" x14ac:dyDescent="0.2">
      <c r="A173" s="31"/>
      <c r="B173" s="32"/>
      <c r="C173" s="32"/>
      <c r="D173" s="24"/>
      <c r="E173" s="24"/>
      <c r="F173" s="33"/>
      <c r="G173" s="22" t="str">
        <f>IFERROR(INDEX('1. NhapKho'!$I$5:$I$351,MATCH($C173,'1. NhapKho'!$C$5:$C$351,0)),"")</f>
        <v/>
      </c>
      <c r="H173" s="34" t="str">
        <f>IFERROR(INDEX('1. NhapKho'!$G$5:$G$351,MATCH($C173,'1. NhapKho'!$C$5:$C$351,0)),"")</f>
        <v/>
      </c>
      <c r="I173" s="35" t="str">
        <f t="shared" si="2"/>
        <v/>
      </c>
      <c r="J173" s="36" t="str">
        <f>IFERROR(INDEX('1. NhapKho'!$F$5:$F$351,MATCH($C173,'1. NhapKho'!$C$5:$C$351,0)),"")</f>
        <v/>
      </c>
      <c r="K173" s="24"/>
    </row>
    <row r="174" spans="1:11" x14ac:dyDescent="0.2">
      <c r="A174" s="31"/>
      <c r="B174" s="32"/>
      <c r="C174" s="32"/>
      <c r="D174" s="24"/>
      <c r="E174" s="24"/>
      <c r="F174" s="33"/>
      <c r="G174" s="22" t="str">
        <f>IFERROR(INDEX('1. NhapKho'!$I$5:$I$351,MATCH($C174,'1. NhapKho'!$C$5:$C$351,0)),"")</f>
        <v/>
      </c>
      <c r="H174" s="34" t="str">
        <f>IFERROR(INDEX('1. NhapKho'!$G$5:$G$351,MATCH($C174,'1. NhapKho'!$C$5:$C$351,0)),"")</f>
        <v/>
      </c>
      <c r="I174" s="35" t="str">
        <f t="shared" si="2"/>
        <v/>
      </c>
      <c r="J174" s="36" t="str">
        <f>IFERROR(INDEX('1. NhapKho'!$F$5:$F$351,MATCH($C174,'1. NhapKho'!$C$5:$C$351,0)),"")</f>
        <v/>
      </c>
      <c r="K174" s="24"/>
    </row>
    <row r="175" spans="1:11" x14ac:dyDescent="0.2">
      <c r="A175" s="31"/>
      <c r="B175" s="32"/>
      <c r="C175" s="32"/>
      <c r="D175" s="24"/>
      <c r="E175" s="24"/>
      <c r="F175" s="33"/>
      <c r="G175" s="22" t="str">
        <f>IFERROR(INDEX('1. NhapKho'!$I$5:$I$351,MATCH($C175,'1. NhapKho'!$C$5:$C$351,0)),"")</f>
        <v/>
      </c>
      <c r="H175" s="34" t="str">
        <f>IFERROR(INDEX('1. NhapKho'!$G$5:$G$351,MATCH($C175,'1. NhapKho'!$C$5:$C$351,0)),"")</f>
        <v/>
      </c>
      <c r="I175" s="35" t="str">
        <f t="shared" si="2"/>
        <v/>
      </c>
      <c r="J175" s="36" t="str">
        <f>IFERROR(INDEX('1. NhapKho'!$F$5:$F$351,MATCH($C175,'1. NhapKho'!$C$5:$C$351,0)),"")</f>
        <v/>
      </c>
      <c r="K175" s="24"/>
    </row>
    <row r="176" spans="1:11" x14ac:dyDescent="0.2">
      <c r="A176" s="31"/>
      <c r="B176" s="32"/>
      <c r="C176" s="32"/>
      <c r="D176" s="24"/>
      <c r="E176" s="24"/>
      <c r="F176" s="33"/>
      <c r="G176" s="22" t="str">
        <f>IFERROR(INDEX('1. NhapKho'!$I$5:$I$351,MATCH($C176,'1. NhapKho'!$C$5:$C$351,0)),"")</f>
        <v/>
      </c>
      <c r="H176" s="34" t="str">
        <f>IFERROR(INDEX('1. NhapKho'!$G$5:$G$351,MATCH($C176,'1. NhapKho'!$C$5:$C$351,0)),"")</f>
        <v/>
      </c>
      <c r="I176" s="35" t="str">
        <f t="shared" si="2"/>
        <v/>
      </c>
      <c r="J176" s="36" t="str">
        <f>IFERROR(INDEX('1. NhapKho'!$F$5:$F$351,MATCH($C176,'1. NhapKho'!$C$5:$C$351,0)),"")</f>
        <v/>
      </c>
      <c r="K176" s="24"/>
    </row>
    <row r="177" spans="1:11" x14ac:dyDescent="0.2">
      <c r="A177" s="31"/>
      <c r="B177" s="32"/>
      <c r="C177" s="32"/>
      <c r="D177" s="24"/>
      <c r="E177" s="24"/>
      <c r="F177" s="33"/>
      <c r="G177" s="22" t="str">
        <f>IFERROR(INDEX('1. NhapKho'!$I$5:$I$351,MATCH($C177,'1. NhapKho'!$C$5:$C$351,0)),"")</f>
        <v/>
      </c>
      <c r="H177" s="34" t="str">
        <f>IFERROR(INDEX('1. NhapKho'!$G$5:$G$351,MATCH($C177,'1. NhapKho'!$C$5:$C$351,0)),"")</f>
        <v/>
      </c>
      <c r="I177" s="35" t="str">
        <f t="shared" si="2"/>
        <v/>
      </c>
      <c r="J177" s="36" t="str">
        <f>IFERROR(INDEX('1. NhapKho'!$F$5:$F$351,MATCH($C177,'1. NhapKho'!$C$5:$C$351,0)),"")</f>
        <v/>
      </c>
      <c r="K177" s="24"/>
    </row>
    <row r="178" spans="1:11" x14ac:dyDescent="0.2">
      <c r="A178" s="31"/>
      <c r="B178" s="32"/>
      <c r="C178" s="32"/>
      <c r="D178" s="24"/>
      <c r="E178" s="24"/>
      <c r="F178" s="33"/>
      <c r="G178" s="22" t="str">
        <f>IFERROR(INDEX('1. NhapKho'!$I$5:$I$351,MATCH($C178,'1. NhapKho'!$C$5:$C$351,0)),"")</f>
        <v/>
      </c>
      <c r="H178" s="34" t="str">
        <f>IFERROR(INDEX('1. NhapKho'!$G$5:$G$351,MATCH($C178,'1. NhapKho'!$C$5:$C$351,0)),"")</f>
        <v/>
      </c>
      <c r="I178" s="35" t="str">
        <f t="shared" si="2"/>
        <v/>
      </c>
      <c r="J178" s="36" t="str">
        <f>IFERROR(INDEX('1. NhapKho'!$F$5:$F$351,MATCH($C178,'1. NhapKho'!$C$5:$C$351,0)),"")</f>
        <v/>
      </c>
      <c r="K178" s="24"/>
    </row>
    <row r="179" spans="1:11" x14ac:dyDescent="0.2">
      <c r="A179" s="31"/>
      <c r="B179" s="32"/>
      <c r="C179" s="32"/>
      <c r="D179" s="24"/>
      <c r="E179" s="24"/>
      <c r="F179" s="33"/>
      <c r="G179" s="22" t="str">
        <f>IFERROR(INDEX('1. NhapKho'!$I$5:$I$351,MATCH($C179,'1. NhapKho'!$C$5:$C$351,0)),"")</f>
        <v/>
      </c>
      <c r="H179" s="34" t="str">
        <f>IFERROR(INDEX('1. NhapKho'!$G$5:$G$351,MATCH($C179,'1. NhapKho'!$C$5:$C$351,0)),"")</f>
        <v/>
      </c>
      <c r="I179" s="35" t="str">
        <f t="shared" si="2"/>
        <v/>
      </c>
      <c r="J179" s="36" t="str">
        <f>IFERROR(INDEX('1. NhapKho'!$F$5:$F$351,MATCH($C179,'1. NhapKho'!$C$5:$C$351,0)),"")</f>
        <v/>
      </c>
      <c r="K179" s="24"/>
    </row>
    <row r="180" spans="1:11" x14ac:dyDescent="0.2">
      <c r="A180" s="31"/>
      <c r="B180" s="32"/>
      <c r="C180" s="32"/>
      <c r="D180" s="24"/>
      <c r="E180" s="24"/>
      <c r="F180" s="33"/>
      <c r="G180" s="22" t="str">
        <f>IFERROR(INDEX('1. NhapKho'!$I$5:$I$351,MATCH($C180,'1. NhapKho'!$C$5:$C$351,0)),"")</f>
        <v/>
      </c>
      <c r="H180" s="34" t="str">
        <f>IFERROR(INDEX('1. NhapKho'!$G$5:$G$351,MATCH($C180,'1. NhapKho'!$C$5:$C$351,0)),"")</f>
        <v/>
      </c>
      <c r="I180" s="35" t="str">
        <f t="shared" si="2"/>
        <v/>
      </c>
      <c r="J180" s="36" t="str">
        <f>IFERROR(INDEX('1. NhapKho'!$F$5:$F$351,MATCH($C180,'1. NhapKho'!$C$5:$C$351,0)),"")</f>
        <v/>
      </c>
      <c r="K180" s="24"/>
    </row>
    <row r="181" spans="1:11" x14ac:dyDescent="0.2">
      <c r="A181" s="31"/>
      <c r="B181" s="32"/>
      <c r="C181" s="32"/>
      <c r="D181" s="24"/>
      <c r="E181" s="24"/>
      <c r="F181" s="33"/>
      <c r="G181" s="22" t="str">
        <f>IFERROR(INDEX('1. NhapKho'!$I$5:$I$351,MATCH($C181,'1. NhapKho'!$C$5:$C$351,0)),"")</f>
        <v/>
      </c>
      <c r="H181" s="34" t="str">
        <f>IFERROR(INDEX('1. NhapKho'!$G$5:$G$351,MATCH($C181,'1. NhapKho'!$C$5:$C$351,0)),"")</f>
        <v/>
      </c>
      <c r="I181" s="35" t="str">
        <f t="shared" si="2"/>
        <v/>
      </c>
      <c r="J181" s="36" t="str">
        <f>IFERROR(INDEX('1. NhapKho'!$F$5:$F$351,MATCH($C181,'1. NhapKho'!$C$5:$C$351,0)),"")</f>
        <v/>
      </c>
      <c r="K181" s="24"/>
    </row>
    <row r="182" spans="1:11" x14ac:dyDescent="0.2">
      <c r="A182" s="31"/>
      <c r="B182" s="32"/>
      <c r="C182" s="32"/>
      <c r="D182" s="24"/>
      <c r="E182" s="24"/>
      <c r="F182" s="33"/>
      <c r="G182" s="22" t="str">
        <f>IFERROR(INDEX('1. NhapKho'!$I$5:$I$351,MATCH($C182,'1. NhapKho'!$C$5:$C$351,0)),"")</f>
        <v/>
      </c>
      <c r="H182" s="34" t="str">
        <f>IFERROR(INDEX('1. NhapKho'!$G$5:$G$351,MATCH($C182,'1. NhapKho'!$C$5:$C$351,0)),"")</f>
        <v/>
      </c>
      <c r="I182" s="35" t="str">
        <f t="shared" si="2"/>
        <v/>
      </c>
      <c r="J182" s="36" t="str">
        <f>IFERROR(INDEX('1. NhapKho'!$F$5:$F$351,MATCH($C182,'1. NhapKho'!$C$5:$C$351,0)),"")</f>
        <v/>
      </c>
      <c r="K182" s="24"/>
    </row>
    <row r="183" spans="1:11" x14ac:dyDescent="0.2">
      <c r="A183" s="31"/>
      <c r="B183" s="32"/>
      <c r="C183" s="32"/>
      <c r="D183" s="24"/>
      <c r="E183" s="24"/>
      <c r="F183" s="33"/>
      <c r="G183" s="22" t="str">
        <f>IFERROR(INDEX('1. NhapKho'!$I$5:$I$351,MATCH($C183,'1. NhapKho'!$C$5:$C$351,0)),"")</f>
        <v/>
      </c>
      <c r="H183" s="34" t="str">
        <f>IFERROR(INDEX('1. NhapKho'!$G$5:$G$351,MATCH($C183,'1. NhapKho'!$C$5:$C$351,0)),"")</f>
        <v/>
      </c>
      <c r="I183" s="35" t="str">
        <f t="shared" si="2"/>
        <v/>
      </c>
      <c r="J183" s="36" t="str">
        <f>IFERROR(INDEX('1. NhapKho'!$F$5:$F$351,MATCH($C183,'1. NhapKho'!$C$5:$C$351,0)),"")</f>
        <v/>
      </c>
      <c r="K183" s="24"/>
    </row>
    <row r="184" spans="1:11" x14ac:dyDescent="0.2">
      <c r="A184" s="31"/>
      <c r="B184" s="32"/>
      <c r="C184" s="32"/>
      <c r="D184" s="24"/>
      <c r="E184" s="24"/>
      <c r="F184" s="33"/>
      <c r="G184" s="22" t="str">
        <f>IFERROR(INDEX('1. NhapKho'!$I$5:$I$351,MATCH($C184,'1. NhapKho'!$C$5:$C$351,0)),"")</f>
        <v/>
      </c>
      <c r="H184" s="34" t="str">
        <f>IFERROR(INDEX('1. NhapKho'!$G$5:$G$351,MATCH($C184,'1. NhapKho'!$C$5:$C$351,0)),"")</f>
        <v/>
      </c>
      <c r="I184" s="35" t="str">
        <f t="shared" si="2"/>
        <v/>
      </c>
      <c r="J184" s="36" t="str">
        <f>IFERROR(INDEX('1. NhapKho'!$F$5:$F$351,MATCH($C184,'1. NhapKho'!$C$5:$C$351,0)),"")</f>
        <v/>
      </c>
      <c r="K184" s="24"/>
    </row>
    <row r="185" spans="1:11" x14ac:dyDescent="0.2">
      <c r="A185" s="31"/>
      <c r="B185" s="32"/>
      <c r="C185" s="32"/>
      <c r="D185" s="24"/>
      <c r="E185" s="24"/>
      <c r="F185" s="33"/>
      <c r="G185" s="22" t="str">
        <f>IFERROR(INDEX('1. NhapKho'!$I$5:$I$351,MATCH($C185,'1. NhapKho'!$C$5:$C$351,0)),"")</f>
        <v/>
      </c>
      <c r="H185" s="34" t="str">
        <f>IFERROR(INDEX('1. NhapKho'!$G$5:$G$351,MATCH($C185,'1. NhapKho'!$C$5:$C$351,0)),"")</f>
        <v/>
      </c>
      <c r="I185" s="35" t="str">
        <f t="shared" si="2"/>
        <v/>
      </c>
      <c r="J185" s="36" t="str">
        <f>IFERROR(INDEX('1. NhapKho'!$F$5:$F$351,MATCH($C185,'1. NhapKho'!$C$5:$C$351,0)),"")</f>
        <v/>
      </c>
      <c r="K185" s="24"/>
    </row>
    <row r="186" spans="1:11" x14ac:dyDescent="0.2">
      <c r="A186" s="31"/>
      <c r="B186" s="32"/>
      <c r="C186" s="32"/>
      <c r="D186" s="24"/>
      <c r="E186" s="24"/>
      <c r="F186" s="33"/>
      <c r="G186" s="22" t="str">
        <f>IFERROR(INDEX('1. NhapKho'!$I$5:$I$351,MATCH($C186,'1. NhapKho'!$C$5:$C$351,0)),"")</f>
        <v/>
      </c>
      <c r="H186" s="34" t="str">
        <f>IFERROR(INDEX('1. NhapKho'!$G$5:$G$351,MATCH($C186,'1. NhapKho'!$C$5:$C$351,0)),"")</f>
        <v/>
      </c>
      <c r="I186" s="35" t="str">
        <f t="shared" si="2"/>
        <v/>
      </c>
      <c r="J186" s="36" t="str">
        <f>IFERROR(INDEX('1. NhapKho'!$F$5:$F$351,MATCH($C186,'1. NhapKho'!$C$5:$C$351,0)),"")</f>
        <v/>
      </c>
      <c r="K186" s="24"/>
    </row>
    <row r="187" spans="1:11" x14ac:dyDescent="0.2">
      <c r="A187" s="31"/>
      <c r="B187" s="32"/>
      <c r="C187" s="32"/>
      <c r="D187" s="24"/>
      <c r="E187" s="24"/>
      <c r="F187" s="33"/>
      <c r="G187" s="22" t="str">
        <f>IFERROR(INDEX('1. NhapKho'!$I$5:$I$351,MATCH($C187,'1. NhapKho'!$C$5:$C$351,0)),"")</f>
        <v/>
      </c>
      <c r="H187" s="34" t="str">
        <f>IFERROR(INDEX('1. NhapKho'!$G$5:$G$351,MATCH($C187,'1. NhapKho'!$C$5:$C$351,0)),"")</f>
        <v/>
      </c>
      <c r="I187" s="35" t="str">
        <f t="shared" si="2"/>
        <v/>
      </c>
      <c r="J187" s="36" t="str">
        <f>IFERROR(INDEX('1. NhapKho'!$F$5:$F$351,MATCH($C187,'1. NhapKho'!$C$5:$C$351,0)),"")</f>
        <v/>
      </c>
      <c r="K187" s="24"/>
    </row>
    <row r="188" spans="1:11" x14ac:dyDescent="0.2">
      <c r="A188" s="31"/>
      <c r="B188" s="32"/>
      <c r="C188" s="32"/>
      <c r="D188" s="24"/>
      <c r="E188" s="24"/>
      <c r="F188" s="33"/>
      <c r="G188" s="22" t="str">
        <f>IFERROR(INDEX('1. NhapKho'!$I$5:$I$351,MATCH($C188,'1. NhapKho'!$C$5:$C$351,0)),"")</f>
        <v/>
      </c>
      <c r="H188" s="34" t="str">
        <f>IFERROR(INDEX('1. NhapKho'!$G$5:$G$351,MATCH($C188,'1. NhapKho'!$C$5:$C$351,0)),"")</f>
        <v/>
      </c>
      <c r="I188" s="35" t="str">
        <f t="shared" si="2"/>
        <v/>
      </c>
      <c r="J188" s="36" t="str">
        <f>IFERROR(INDEX('1. NhapKho'!$F$5:$F$351,MATCH($C188,'1. NhapKho'!$C$5:$C$351,0)),"")</f>
        <v/>
      </c>
      <c r="K188" s="24"/>
    </row>
    <row r="189" spans="1:11" x14ac:dyDescent="0.2">
      <c r="A189" s="31"/>
      <c r="B189" s="32"/>
      <c r="C189" s="32"/>
      <c r="D189" s="24"/>
      <c r="E189" s="24"/>
      <c r="F189" s="33"/>
      <c r="G189" s="22" t="str">
        <f>IFERROR(INDEX('1. NhapKho'!$I$5:$I$351,MATCH($C189,'1. NhapKho'!$C$5:$C$351,0)),"")</f>
        <v/>
      </c>
      <c r="H189" s="34" t="str">
        <f>IFERROR(INDEX('1. NhapKho'!$G$5:$G$351,MATCH($C189,'1. NhapKho'!$C$5:$C$351,0)),"")</f>
        <v/>
      </c>
      <c r="I189" s="35" t="str">
        <f t="shared" si="2"/>
        <v/>
      </c>
      <c r="J189" s="36" t="str">
        <f>IFERROR(INDEX('1. NhapKho'!$F$5:$F$351,MATCH($C189,'1. NhapKho'!$C$5:$C$351,0)),"")</f>
        <v/>
      </c>
      <c r="K189" s="24"/>
    </row>
    <row r="190" spans="1:11" x14ac:dyDescent="0.2">
      <c r="A190" s="31"/>
      <c r="B190" s="32"/>
      <c r="C190" s="32"/>
      <c r="D190" s="24"/>
      <c r="E190" s="24"/>
      <c r="F190" s="33"/>
      <c r="G190" s="22" t="str">
        <f>IFERROR(INDEX('1. NhapKho'!$I$5:$I$351,MATCH($C190,'1. NhapKho'!$C$5:$C$351,0)),"")</f>
        <v/>
      </c>
      <c r="H190" s="34" t="str">
        <f>IFERROR(INDEX('1. NhapKho'!$G$5:$G$351,MATCH($C190,'1. NhapKho'!$C$5:$C$351,0)),"")</f>
        <v/>
      </c>
      <c r="I190" s="35" t="str">
        <f t="shared" si="2"/>
        <v/>
      </c>
      <c r="J190" s="36" t="str">
        <f>IFERROR(INDEX('1. NhapKho'!$F$5:$F$351,MATCH($C190,'1. NhapKho'!$C$5:$C$351,0)),"")</f>
        <v/>
      </c>
      <c r="K190" s="24"/>
    </row>
    <row r="191" spans="1:11" x14ac:dyDescent="0.2">
      <c r="A191" s="31"/>
      <c r="B191" s="32"/>
      <c r="C191" s="32"/>
      <c r="D191" s="24"/>
      <c r="E191" s="24"/>
      <c r="F191" s="33"/>
      <c r="G191" s="22" t="str">
        <f>IFERROR(INDEX('1. NhapKho'!$I$5:$I$351,MATCH($C191,'1. NhapKho'!$C$5:$C$351,0)),"")</f>
        <v/>
      </c>
      <c r="H191" s="34" t="str">
        <f>IFERROR(INDEX('1. NhapKho'!$G$5:$G$351,MATCH($C191,'1. NhapKho'!$C$5:$C$351,0)),"")</f>
        <v/>
      </c>
      <c r="I191" s="35" t="str">
        <f t="shared" si="2"/>
        <v/>
      </c>
      <c r="J191" s="36" t="str">
        <f>IFERROR(INDEX('1. NhapKho'!$F$5:$F$351,MATCH($C191,'1. NhapKho'!$C$5:$C$351,0)),"")</f>
        <v/>
      </c>
      <c r="K191" s="24"/>
    </row>
    <row r="192" spans="1:11" x14ac:dyDescent="0.2">
      <c r="A192" s="31"/>
      <c r="B192" s="32"/>
      <c r="C192" s="32"/>
      <c r="D192" s="24"/>
      <c r="E192" s="24"/>
      <c r="F192" s="33"/>
      <c r="G192" s="22" t="str">
        <f>IFERROR(INDEX('1. NhapKho'!$I$5:$I$351,MATCH($C192,'1. NhapKho'!$C$5:$C$351,0)),"")</f>
        <v/>
      </c>
      <c r="H192" s="34" t="str">
        <f>IFERROR(INDEX('1. NhapKho'!$G$5:$G$351,MATCH($C192,'1. NhapKho'!$C$5:$C$351,0)),"")</f>
        <v/>
      </c>
      <c r="I192" s="35" t="str">
        <f t="shared" si="2"/>
        <v/>
      </c>
      <c r="J192" s="36" t="str">
        <f>IFERROR(INDEX('1. NhapKho'!$F$5:$F$351,MATCH($C192,'1. NhapKho'!$C$5:$C$351,0)),"")</f>
        <v/>
      </c>
      <c r="K192" s="24"/>
    </row>
    <row r="193" spans="1:11" x14ac:dyDescent="0.2">
      <c r="A193" s="31"/>
      <c r="B193" s="32"/>
      <c r="C193" s="32"/>
      <c r="D193" s="24"/>
      <c r="E193" s="24"/>
      <c r="F193" s="33"/>
      <c r="G193" s="22" t="str">
        <f>IFERROR(INDEX('1. NhapKho'!$I$5:$I$351,MATCH($C193,'1. NhapKho'!$C$5:$C$351,0)),"")</f>
        <v/>
      </c>
      <c r="H193" s="34" t="str">
        <f>IFERROR(INDEX('1. NhapKho'!$G$5:$G$351,MATCH($C193,'1. NhapKho'!$C$5:$C$351,0)),"")</f>
        <v/>
      </c>
      <c r="I193" s="35" t="str">
        <f t="shared" si="2"/>
        <v/>
      </c>
      <c r="J193" s="36" t="str">
        <f>IFERROR(INDEX('1. NhapKho'!$F$5:$F$351,MATCH($C193,'1. NhapKho'!$C$5:$C$351,0)),"")</f>
        <v/>
      </c>
      <c r="K193" s="24"/>
    </row>
    <row r="194" spans="1:11" x14ac:dyDescent="0.2">
      <c r="A194" s="31"/>
      <c r="B194" s="32"/>
      <c r="C194" s="32"/>
      <c r="D194" s="24"/>
      <c r="E194" s="24"/>
      <c r="F194" s="33"/>
      <c r="G194" s="22" t="str">
        <f>IFERROR(INDEX('1. NhapKho'!$I$5:$I$351,MATCH($C194,'1. NhapKho'!$C$5:$C$351,0)),"")</f>
        <v/>
      </c>
      <c r="H194" s="34" t="str">
        <f>IFERROR(INDEX('1. NhapKho'!$G$5:$G$351,MATCH($C194,'1. NhapKho'!$C$5:$C$351,0)),"")</f>
        <v/>
      </c>
      <c r="I194" s="35" t="str">
        <f t="shared" si="2"/>
        <v/>
      </c>
      <c r="J194" s="36" t="str">
        <f>IFERROR(INDEX('1. NhapKho'!$F$5:$F$351,MATCH($C194,'1. NhapKho'!$C$5:$C$351,0)),"")</f>
        <v/>
      </c>
      <c r="K194" s="24"/>
    </row>
    <row r="195" spans="1:11" x14ac:dyDescent="0.2">
      <c r="A195" s="31"/>
      <c r="B195" s="32"/>
      <c r="C195" s="32"/>
      <c r="D195" s="24"/>
      <c r="E195" s="24"/>
      <c r="F195" s="33"/>
      <c r="G195" s="22" t="str">
        <f>IFERROR(INDEX('1. NhapKho'!$I$5:$I$351,MATCH($C195,'1. NhapKho'!$C$5:$C$351,0)),"")</f>
        <v/>
      </c>
      <c r="H195" s="34" t="str">
        <f>IFERROR(INDEX('1. NhapKho'!$G$5:$G$351,MATCH($C195,'1. NhapKho'!$C$5:$C$351,0)),"")</f>
        <v/>
      </c>
      <c r="I195" s="35" t="str">
        <f t="shared" si="2"/>
        <v/>
      </c>
      <c r="J195" s="36" t="str">
        <f>IFERROR(INDEX('1. NhapKho'!$F$5:$F$351,MATCH($C195,'1. NhapKho'!$C$5:$C$351,0)),"")</f>
        <v/>
      </c>
      <c r="K195" s="24"/>
    </row>
    <row r="196" spans="1:11" x14ac:dyDescent="0.2">
      <c r="A196" s="31"/>
      <c r="B196" s="32"/>
      <c r="C196" s="32"/>
      <c r="D196" s="24"/>
      <c r="E196" s="24"/>
      <c r="F196" s="33"/>
      <c r="G196" s="22" t="str">
        <f>IFERROR(INDEX('1. NhapKho'!$I$5:$I$351,MATCH($C196,'1. NhapKho'!$C$5:$C$351,0)),"")</f>
        <v/>
      </c>
      <c r="H196" s="34" t="str">
        <f>IFERROR(INDEX('1. NhapKho'!$G$5:$G$351,MATCH($C196,'1. NhapKho'!$C$5:$C$351,0)),"")</f>
        <v/>
      </c>
      <c r="I196" s="35" t="str">
        <f t="shared" si="2"/>
        <v/>
      </c>
      <c r="J196" s="36" t="str">
        <f>IFERROR(INDEX('1. NhapKho'!$F$5:$F$351,MATCH($C196,'1. NhapKho'!$C$5:$C$351,0)),"")</f>
        <v/>
      </c>
      <c r="K196" s="24"/>
    </row>
    <row r="197" spans="1:11" x14ac:dyDescent="0.2">
      <c r="A197" s="31"/>
      <c r="B197" s="32"/>
      <c r="C197" s="32"/>
      <c r="D197" s="24"/>
      <c r="E197" s="24"/>
      <c r="F197" s="33"/>
      <c r="G197" s="22" t="str">
        <f>IFERROR(INDEX('1. NhapKho'!$I$5:$I$351,MATCH($C197,'1. NhapKho'!$C$5:$C$351,0)),"")</f>
        <v/>
      </c>
      <c r="H197" s="34" t="str">
        <f>IFERROR(INDEX('1. NhapKho'!$G$5:$G$351,MATCH($C197,'1. NhapKho'!$C$5:$C$351,0)),"")</f>
        <v/>
      </c>
      <c r="I197" s="35" t="str">
        <f t="shared" ref="I197:I254" si="3">IF(OR($C197="",$F197=""),"",$F197*$G197)</f>
        <v/>
      </c>
      <c r="J197" s="36" t="str">
        <f>IFERROR(INDEX('1. NhapKho'!$F$5:$F$351,MATCH($C197,'1. NhapKho'!$C$5:$C$351,0)),"")</f>
        <v/>
      </c>
      <c r="K197" s="24"/>
    </row>
    <row r="198" spans="1:11" x14ac:dyDescent="0.2">
      <c r="A198" s="31"/>
      <c r="B198" s="32"/>
      <c r="C198" s="32"/>
      <c r="D198" s="24"/>
      <c r="E198" s="24"/>
      <c r="F198" s="33"/>
      <c r="G198" s="22" t="str">
        <f>IFERROR(INDEX('1. NhapKho'!$I$5:$I$351,MATCH($C198,'1. NhapKho'!$C$5:$C$351,0)),"")</f>
        <v/>
      </c>
      <c r="H198" s="34" t="str">
        <f>IFERROR(INDEX('1. NhapKho'!$G$5:$G$351,MATCH($C198,'1. NhapKho'!$C$5:$C$351,0)),"")</f>
        <v/>
      </c>
      <c r="I198" s="35" t="str">
        <f t="shared" si="3"/>
        <v/>
      </c>
      <c r="J198" s="36" t="str">
        <f>IFERROR(INDEX('1. NhapKho'!$F$5:$F$351,MATCH($C198,'1. NhapKho'!$C$5:$C$351,0)),"")</f>
        <v/>
      </c>
      <c r="K198" s="24"/>
    </row>
    <row r="199" spans="1:11" x14ac:dyDescent="0.2">
      <c r="A199" s="31"/>
      <c r="B199" s="32"/>
      <c r="C199" s="32"/>
      <c r="D199" s="24"/>
      <c r="E199" s="24"/>
      <c r="F199" s="33"/>
      <c r="G199" s="22" t="str">
        <f>IFERROR(INDEX('1. NhapKho'!$I$5:$I$351,MATCH($C199,'1. NhapKho'!$C$5:$C$351,0)),"")</f>
        <v/>
      </c>
      <c r="H199" s="34" t="str">
        <f>IFERROR(INDEX('1. NhapKho'!$G$5:$G$351,MATCH($C199,'1. NhapKho'!$C$5:$C$351,0)),"")</f>
        <v/>
      </c>
      <c r="I199" s="35" t="str">
        <f t="shared" si="3"/>
        <v/>
      </c>
      <c r="J199" s="36" t="str">
        <f>IFERROR(INDEX('1. NhapKho'!$F$5:$F$351,MATCH($C199,'1. NhapKho'!$C$5:$C$351,0)),"")</f>
        <v/>
      </c>
      <c r="K199" s="24"/>
    </row>
    <row r="200" spans="1:11" x14ac:dyDescent="0.2">
      <c r="A200" s="31"/>
      <c r="B200" s="32"/>
      <c r="C200" s="32"/>
      <c r="D200" s="24"/>
      <c r="E200" s="24"/>
      <c r="F200" s="33"/>
      <c r="G200" s="22" t="str">
        <f>IFERROR(INDEX('1. NhapKho'!$I$5:$I$351,MATCH($C200,'1. NhapKho'!$C$5:$C$351,0)),"")</f>
        <v/>
      </c>
      <c r="H200" s="34" t="str">
        <f>IFERROR(INDEX('1. NhapKho'!$G$5:$G$351,MATCH($C200,'1. NhapKho'!$C$5:$C$351,0)),"")</f>
        <v/>
      </c>
      <c r="I200" s="35" t="str">
        <f t="shared" si="3"/>
        <v/>
      </c>
      <c r="J200" s="36" t="str">
        <f>IFERROR(INDEX('1. NhapKho'!$F$5:$F$351,MATCH($C200,'1. NhapKho'!$C$5:$C$351,0)),"")</f>
        <v/>
      </c>
      <c r="K200" s="24"/>
    </row>
    <row r="201" spans="1:11" x14ac:dyDescent="0.2">
      <c r="A201" s="31"/>
      <c r="B201" s="32"/>
      <c r="C201" s="32"/>
      <c r="D201" s="24"/>
      <c r="E201" s="24"/>
      <c r="F201" s="33"/>
      <c r="G201" s="22" t="str">
        <f>IFERROR(INDEX('1. NhapKho'!$I$5:$I$351,MATCH($C201,'1. NhapKho'!$C$5:$C$351,0)),"")</f>
        <v/>
      </c>
      <c r="H201" s="34" t="str">
        <f>IFERROR(INDEX('1. NhapKho'!$G$5:$G$351,MATCH($C201,'1. NhapKho'!$C$5:$C$351,0)),"")</f>
        <v/>
      </c>
      <c r="I201" s="35" t="str">
        <f t="shared" si="3"/>
        <v/>
      </c>
      <c r="J201" s="36" t="str">
        <f>IFERROR(INDEX('1. NhapKho'!$F$5:$F$351,MATCH($C201,'1. NhapKho'!$C$5:$C$351,0)),"")</f>
        <v/>
      </c>
      <c r="K201" s="24"/>
    </row>
    <row r="202" spans="1:11" x14ac:dyDescent="0.2">
      <c r="A202" s="31"/>
      <c r="B202" s="32"/>
      <c r="C202" s="32"/>
      <c r="D202" s="24"/>
      <c r="E202" s="24"/>
      <c r="F202" s="33"/>
      <c r="G202" s="22" t="str">
        <f>IFERROR(INDEX('1. NhapKho'!$I$5:$I$351,MATCH($C202,'1. NhapKho'!$C$5:$C$351,0)),"")</f>
        <v/>
      </c>
      <c r="H202" s="34" t="str">
        <f>IFERROR(INDEX('1. NhapKho'!$G$5:$G$351,MATCH($C202,'1. NhapKho'!$C$5:$C$351,0)),"")</f>
        <v/>
      </c>
      <c r="I202" s="35" t="str">
        <f t="shared" si="3"/>
        <v/>
      </c>
      <c r="J202" s="36" t="str">
        <f>IFERROR(INDEX('1. NhapKho'!$F$5:$F$351,MATCH($C202,'1. NhapKho'!$C$5:$C$351,0)),"")</f>
        <v/>
      </c>
      <c r="K202" s="24"/>
    </row>
    <row r="203" spans="1:11" x14ac:dyDescent="0.2">
      <c r="A203" s="31"/>
      <c r="B203" s="32"/>
      <c r="C203" s="32"/>
      <c r="D203" s="24"/>
      <c r="E203" s="24"/>
      <c r="F203" s="33"/>
      <c r="G203" s="22" t="str">
        <f>IFERROR(INDEX('1. NhapKho'!$I$5:$I$351,MATCH($C203,'1. NhapKho'!$C$5:$C$351,0)),"")</f>
        <v/>
      </c>
      <c r="H203" s="34" t="str">
        <f>IFERROR(INDEX('1. NhapKho'!$G$5:$G$351,MATCH($C203,'1. NhapKho'!$C$5:$C$351,0)),"")</f>
        <v/>
      </c>
      <c r="I203" s="35" t="str">
        <f t="shared" si="3"/>
        <v/>
      </c>
      <c r="J203" s="36" t="str">
        <f>IFERROR(INDEX('1. NhapKho'!$F$5:$F$351,MATCH($C203,'1. NhapKho'!$C$5:$C$351,0)),"")</f>
        <v/>
      </c>
      <c r="K203" s="24"/>
    </row>
    <row r="204" spans="1:11" x14ac:dyDescent="0.2">
      <c r="A204" s="31"/>
      <c r="B204" s="32"/>
      <c r="C204" s="32"/>
      <c r="D204" s="24"/>
      <c r="E204" s="24"/>
      <c r="F204" s="33"/>
      <c r="G204" s="22" t="str">
        <f>IFERROR(INDEX('1. NhapKho'!$I$5:$I$351,MATCH($C204,'1. NhapKho'!$C$5:$C$351,0)),"")</f>
        <v/>
      </c>
      <c r="H204" s="34" t="str">
        <f>IFERROR(INDEX('1. NhapKho'!$G$5:$G$351,MATCH($C204,'1. NhapKho'!$C$5:$C$351,0)),"")</f>
        <v/>
      </c>
      <c r="I204" s="35" t="str">
        <f t="shared" si="3"/>
        <v/>
      </c>
      <c r="J204" s="36" t="str">
        <f>IFERROR(INDEX('1. NhapKho'!$F$5:$F$351,MATCH($C204,'1. NhapKho'!$C$5:$C$351,0)),"")</f>
        <v/>
      </c>
      <c r="K204" s="24"/>
    </row>
    <row r="205" spans="1:11" x14ac:dyDescent="0.2">
      <c r="A205" s="31"/>
      <c r="B205" s="32"/>
      <c r="C205" s="32"/>
      <c r="D205" s="24"/>
      <c r="E205" s="24"/>
      <c r="F205" s="33"/>
      <c r="G205" s="22" t="str">
        <f>IFERROR(INDEX('1. NhapKho'!$I$5:$I$351,MATCH($C205,'1. NhapKho'!$C$5:$C$351,0)),"")</f>
        <v/>
      </c>
      <c r="H205" s="34" t="str">
        <f>IFERROR(INDEX('1. NhapKho'!$G$5:$G$351,MATCH($C205,'1. NhapKho'!$C$5:$C$351,0)),"")</f>
        <v/>
      </c>
      <c r="I205" s="35" t="str">
        <f t="shared" si="3"/>
        <v/>
      </c>
      <c r="J205" s="36" t="str">
        <f>IFERROR(INDEX('1. NhapKho'!$F$5:$F$351,MATCH($C205,'1. NhapKho'!$C$5:$C$351,0)),"")</f>
        <v/>
      </c>
      <c r="K205" s="24"/>
    </row>
    <row r="206" spans="1:11" x14ac:dyDescent="0.2">
      <c r="A206" s="31"/>
      <c r="B206" s="32"/>
      <c r="C206" s="32"/>
      <c r="D206" s="24"/>
      <c r="E206" s="24"/>
      <c r="F206" s="33"/>
      <c r="G206" s="22" t="str">
        <f>IFERROR(INDEX('1. NhapKho'!$I$5:$I$351,MATCH($C206,'1. NhapKho'!$C$5:$C$351,0)),"")</f>
        <v/>
      </c>
      <c r="H206" s="34" t="str">
        <f>IFERROR(INDEX('1. NhapKho'!$G$5:$G$351,MATCH($C206,'1. NhapKho'!$C$5:$C$351,0)),"")</f>
        <v/>
      </c>
      <c r="I206" s="35" t="str">
        <f t="shared" si="3"/>
        <v/>
      </c>
      <c r="J206" s="36" t="str">
        <f>IFERROR(INDEX('1. NhapKho'!$F$5:$F$351,MATCH($C206,'1. NhapKho'!$C$5:$C$351,0)),"")</f>
        <v/>
      </c>
      <c r="K206" s="24"/>
    </row>
    <row r="207" spans="1:11" x14ac:dyDescent="0.2">
      <c r="A207" s="31"/>
      <c r="B207" s="32"/>
      <c r="C207" s="32"/>
      <c r="D207" s="24"/>
      <c r="E207" s="24"/>
      <c r="F207" s="33"/>
      <c r="G207" s="22" t="str">
        <f>IFERROR(INDEX('1. NhapKho'!$I$5:$I$351,MATCH($C207,'1. NhapKho'!$C$5:$C$351,0)),"")</f>
        <v/>
      </c>
      <c r="H207" s="34" t="str">
        <f>IFERROR(INDEX('1. NhapKho'!$G$5:$G$351,MATCH($C207,'1. NhapKho'!$C$5:$C$351,0)),"")</f>
        <v/>
      </c>
      <c r="I207" s="35" t="str">
        <f t="shared" si="3"/>
        <v/>
      </c>
      <c r="J207" s="36" t="str">
        <f>IFERROR(INDEX('1. NhapKho'!$F$5:$F$351,MATCH($C207,'1. NhapKho'!$C$5:$C$351,0)),"")</f>
        <v/>
      </c>
      <c r="K207" s="24"/>
    </row>
    <row r="208" spans="1:11" x14ac:dyDescent="0.2">
      <c r="A208" s="31"/>
      <c r="B208" s="32"/>
      <c r="C208" s="32"/>
      <c r="D208" s="24"/>
      <c r="E208" s="24"/>
      <c r="F208" s="33"/>
      <c r="G208" s="22" t="str">
        <f>IFERROR(INDEX('1. NhapKho'!$I$5:$I$351,MATCH($C208,'1. NhapKho'!$C$5:$C$351,0)),"")</f>
        <v/>
      </c>
      <c r="H208" s="34" t="str">
        <f>IFERROR(INDEX('1. NhapKho'!$G$5:$G$351,MATCH($C208,'1. NhapKho'!$C$5:$C$351,0)),"")</f>
        <v/>
      </c>
      <c r="I208" s="35" t="str">
        <f t="shared" si="3"/>
        <v/>
      </c>
      <c r="J208" s="36" t="str">
        <f>IFERROR(INDEX('1. NhapKho'!$F$5:$F$351,MATCH($C208,'1. NhapKho'!$C$5:$C$351,0)),"")</f>
        <v/>
      </c>
      <c r="K208" s="24"/>
    </row>
    <row r="209" spans="1:11" x14ac:dyDescent="0.2">
      <c r="A209" s="31"/>
      <c r="B209" s="32"/>
      <c r="C209" s="32"/>
      <c r="D209" s="24"/>
      <c r="E209" s="24"/>
      <c r="F209" s="33"/>
      <c r="G209" s="22" t="str">
        <f>IFERROR(INDEX('1. NhapKho'!$I$5:$I$351,MATCH($C209,'1. NhapKho'!$C$5:$C$351,0)),"")</f>
        <v/>
      </c>
      <c r="H209" s="34" t="str">
        <f>IFERROR(INDEX('1. NhapKho'!$G$5:$G$351,MATCH($C209,'1. NhapKho'!$C$5:$C$351,0)),"")</f>
        <v/>
      </c>
      <c r="I209" s="35" t="str">
        <f t="shared" si="3"/>
        <v/>
      </c>
      <c r="J209" s="36" t="str">
        <f>IFERROR(INDEX('1. NhapKho'!$F$5:$F$351,MATCH($C209,'1. NhapKho'!$C$5:$C$351,0)),"")</f>
        <v/>
      </c>
      <c r="K209" s="24"/>
    </row>
    <row r="210" spans="1:11" x14ac:dyDescent="0.2">
      <c r="A210" s="31"/>
      <c r="B210" s="32"/>
      <c r="C210" s="32"/>
      <c r="D210" s="24"/>
      <c r="E210" s="24"/>
      <c r="F210" s="33"/>
      <c r="G210" s="22" t="str">
        <f>IFERROR(INDEX('1. NhapKho'!$I$5:$I$351,MATCH($C210,'1. NhapKho'!$C$5:$C$351,0)),"")</f>
        <v/>
      </c>
      <c r="H210" s="34" t="str">
        <f>IFERROR(INDEX('1. NhapKho'!$G$5:$G$351,MATCH($C210,'1. NhapKho'!$C$5:$C$351,0)),"")</f>
        <v/>
      </c>
      <c r="I210" s="35" t="str">
        <f t="shared" si="3"/>
        <v/>
      </c>
      <c r="J210" s="36" t="str">
        <f>IFERROR(INDEX('1. NhapKho'!$F$5:$F$351,MATCH($C210,'1. NhapKho'!$C$5:$C$351,0)),"")</f>
        <v/>
      </c>
      <c r="K210" s="24"/>
    </row>
    <row r="211" spans="1:11" x14ac:dyDescent="0.2">
      <c r="A211" s="31"/>
      <c r="B211" s="32"/>
      <c r="C211" s="32"/>
      <c r="D211" s="24"/>
      <c r="E211" s="24"/>
      <c r="F211" s="33"/>
      <c r="G211" s="22" t="str">
        <f>IFERROR(INDEX('1. NhapKho'!$I$5:$I$351,MATCH($C211,'1. NhapKho'!$C$5:$C$351,0)),"")</f>
        <v/>
      </c>
      <c r="H211" s="34" t="str">
        <f>IFERROR(INDEX('1. NhapKho'!$G$5:$G$351,MATCH($C211,'1. NhapKho'!$C$5:$C$351,0)),"")</f>
        <v/>
      </c>
      <c r="I211" s="35" t="str">
        <f t="shared" si="3"/>
        <v/>
      </c>
      <c r="J211" s="36" t="str">
        <f>IFERROR(INDEX('1. NhapKho'!$F$5:$F$351,MATCH($C211,'1. NhapKho'!$C$5:$C$351,0)),"")</f>
        <v/>
      </c>
      <c r="K211" s="24"/>
    </row>
    <row r="212" spans="1:11" x14ac:dyDescent="0.2">
      <c r="A212" s="31"/>
      <c r="B212" s="32"/>
      <c r="C212" s="32"/>
      <c r="D212" s="24"/>
      <c r="E212" s="24"/>
      <c r="F212" s="33"/>
      <c r="G212" s="22" t="str">
        <f>IFERROR(INDEX('1. NhapKho'!$I$5:$I$351,MATCH($C212,'1. NhapKho'!$C$5:$C$351,0)),"")</f>
        <v/>
      </c>
      <c r="H212" s="34" t="str">
        <f>IFERROR(INDEX('1. NhapKho'!$G$5:$G$351,MATCH($C212,'1. NhapKho'!$C$5:$C$351,0)),"")</f>
        <v/>
      </c>
      <c r="I212" s="35" t="str">
        <f t="shared" si="3"/>
        <v/>
      </c>
      <c r="J212" s="36" t="str">
        <f>IFERROR(INDEX('1. NhapKho'!$F$5:$F$351,MATCH($C212,'1. NhapKho'!$C$5:$C$351,0)),"")</f>
        <v/>
      </c>
      <c r="K212" s="24"/>
    </row>
    <row r="213" spans="1:11" x14ac:dyDescent="0.2">
      <c r="A213" s="31"/>
      <c r="B213" s="32"/>
      <c r="C213" s="32"/>
      <c r="D213" s="24"/>
      <c r="E213" s="24"/>
      <c r="F213" s="33"/>
      <c r="G213" s="22" t="str">
        <f>IFERROR(INDEX('1. NhapKho'!$I$5:$I$351,MATCH($C213,'1. NhapKho'!$C$5:$C$351,0)),"")</f>
        <v/>
      </c>
      <c r="H213" s="34" t="str">
        <f>IFERROR(INDEX('1. NhapKho'!$G$5:$G$351,MATCH($C213,'1. NhapKho'!$C$5:$C$351,0)),"")</f>
        <v/>
      </c>
      <c r="I213" s="35" t="str">
        <f t="shared" si="3"/>
        <v/>
      </c>
      <c r="J213" s="36" t="str">
        <f>IFERROR(INDEX('1. NhapKho'!$F$5:$F$351,MATCH($C213,'1. NhapKho'!$C$5:$C$351,0)),"")</f>
        <v/>
      </c>
      <c r="K213" s="24"/>
    </row>
    <row r="214" spans="1:11" x14ac:dyDescent="0.2">
      <c r="A214" s="31"/>
      <c r="B214" s="32"/>
      <c r="C214" s="32"/>
      <c r="D214" s="24"/>
      <c r="E214" s="24"/>
      <c r="F214" s="33"/>
      <c r="G214" s="22" t="str">
        <f>IFERROR(INDEX('1. NhapKho'!$I$5:$I$351,MATCH($C214,'1. NhapKho'!$C$5:$C$351,0)),"")</f>
        <v/>
      </c>
      <c r="H214" s="34" t="str">
        <f>IFERROR(INDEX('1. NhapKho'!$G$5:$G$351,MATCH($C214,'1. NhapKho'!$C$5:$C$351,0)),"")</f>
        <v/>
      </c>
      <c r="I214" s="35" t="str">
        <f t="shared" si="3"/>
        <v/>
      </c>
      <c r="J214" s="36" t="str">
        <f>IFERROR(INDEX('1. NhapKho'!$F$5:$F$351,MATCH($C214,'1. NhapKho'!$C$5:$C$351,0)),"")</f>
        <v/>
      </c>
      <c r="K214" s="24"/>
    </row>
    <row r="215" spans="1:11" x14ac:dyDescent="0.2">
      <c r="A215" s="31"/>
      <c r="B215" s="32"/>
      <c r="C215" s="32"/>
      <c r="D215" s="24"/>
      <c r="E215" s="24"/>
      <c r="F215" s="33"/>
      <c r="G215" s="22" t="str">
        <f>IFERROR(INDEX('1. NhapKho'!$I$5:$I$351,MATCH($C215,'1. NhapKho'!$C$5:$C$351,0)),"")</f>
        <v/>
      </c>
      <c r="H215" s="34" t="str">
        <f>IFERROR(INDEX('1. NhapKho'!$G$5:$G$351,MATCH($C215,'1. NhapKho'!$C$5:$C$351,0)),"")</f>
        <v/>
      </c>
      <c r="I215" s="35" t="str">
        <f t="shared" si="3"/>
        <v/>
      </c>
      <c r="J215" s="36" t="str">
        <f>IFERROR(INDEX('1. NhapKho'!$F$5:$F$351,MATCH($C215,'1. NhapKho'!$C$5:$C$351,0)),"")</f>
        <v/>
      </c>
      <c r="K215" s="24"/>
    </row>
    <row r="216" spans="1:11" x14ac:dyDescent="0.2">
      <c r="A216" s="31"/>
      <c r="B216" s="32"/>
      <c r="C216" s="32"/>
      <c r="D216" s="24"/>
      <c r="E216" s="24"/>
      <c r="F216" s="33"/>
      <c r="G216" s="22" t="str">
        <f>IFERROR(INDEX('1. NhapKho'!$I$5:$I$351,MATCH($C216,'1. NhapKho'!$C$5:$C$351,0)),"")</f>
        <v/>
      </c>
      <c r="H216" s="34" t="str">
        <f>IFERROR(INDEX('1. NhapKho'!$G$5:$G$351,MATCH($C216,'1. NhapKho'!$C$5:$C$351,0)),"")</f>
        <v/>
      </c>
      <c r="I216" s="35" t="str">
        <f t="shared" si="3"/>
        <v/>
      </c>
      <c r="J216" s="36" t="str">
        <f>IFERROR(INDEX('1. NhapKho'!$F$5:$F$351,MATCH($C216,'1. NhapKho'!$C$5:$C$351,0)),"")</f>
        <v/>
      </c>
      <c r="K216" s="24"/>
    </row>
    <row r="217" spans="1:11" x14ac:dyDescent="0.2">
      <c r="A217" s="31"/>
      <c r="B217" s="32"/>
      <c r="C217" s="32"/>
      <c r="D217" s="24"/>
      <c r="E217" s="24"/>
      <c r="F217" s="33"/>
      <c r="G217" s="22" t="str">
        <f>IFERROR(INDEX('1. NhapKho'!$I$5:$I$351,MATCH($C217,'1. NhapKho'!$C$5:$C$351,0)),"")</f>
        <v/>
      </c>
      <c r="H217" s="34" t="str">
        <f>IFERROR(INDEX('1. NhapKho'!$G$5:$G$351,MATCH($C217,'1. NhapKho'!$C$5:$C$351,0)),"")</f>
        <v/>
      </c>
      <c r="I217" s="35" t="str">
        <f t="shared" si="3"/>
        <v/>
      </c>
      <c r="J217" s="36" t="str">
        <f>IFERROR(INDEX('1. NhapKho'!$F$5:$F$351,MATCH($C217,'1. NhapKho'!$C$5:$C$351,0)),"")</f>
        <v/>
      </c>
      <c r="K217" s="24"/>
    </row>
    <row r="218" spans="1:11" x14ac:dyDescent="0.2">
      <c r="A218" s="31"/>
      <c r="B218" s="32"/>
      <c r="C218" s="32"/>
      <c r="D218" s="24"/>
      <c r="E218" s="24"/>
      <c r="F218" s="33"/>
      <c r="G218" s="22" t="str">
        <f>IFERROR(INDEX('1. NhapKho'!$I$5:$I$351,MATCH($C218,'1. NhapKho'!$C$5:$C$351,0)),"")</f>
        <v/>
      </c>
      <c r="H218" s="34" t="str">
        <f>IFERROR(INDEX('1. NhapKho'!$G$5:$G$351,MATCH($C218,'1. NhapKho'!$C$5:$C$351,0)),"")</f>
        <v/>
      </c>
      <c r="I218" s="35" t="str">
        <f t="shared" si="3"/>
        <v/>
      </c>
      <c r="J218" s="36" t="str">
        <f>IFERROR(INDEX('1. NhapKho'!$F$5:$F$351,MATCH($C218,'1. NhapKho'!$C$5:$C$351,0)),"")</f>
        <v/>
      </c>
      <c r="K218" s="24"/>
    </row>
    <row r="219" spans="1:11" x14ac:dyDescent="0.2">
      <c r="A219" s="31"/>
      <c r="B219" s="32"/>
      <c r="C219" s="32"/>
      <c r="D219" s="24"/>
      <c r="E219" s="24"/>
      <c r="F219" s="33"/>
      <c r="G219" s="22" t="str">
        <f>IFERROR(INDEX('1. NhapKho'!$I$5:$I$351,MATCH($C219,'1. NhapKho'!$C$5:$C$351,0)),"")</f>
        <v/>
      </c>
      <c r="H219" s="34" t="str">
        <f>IFERROR(INDEX('1. NhapKho'!$G$5:$G$351,MATCH($C219,'1. NhapKho'!$C$5:$C$351,0)),"")</f>
        <v/>
      </c>
      <c r="I219" s="35" t="str">
        <f t="shared" si="3"/>
        <v/>
      </c>
      <c r="J219" s="36" t="str">
        <f>IFERROR(INDEX('1. NhapKho'!$F$5:$F$351,MATCH($C219,'1. NhapKho'!$C$5:$C$351,0)),"")</f>
        <v/>
      </c>
      <c r="K219" s="24"/>
    </row>
    <row r="220" spans="1:11" x14ac:dyDescent="0.2">
      <c r="A220" s="31"/>
      <c r="B220" s="32"/>
      <c r="C220" s="32"/>
      <c r="D220" s="24"/>
      <c r="E220" s="24"/>
      <c r="F220" s="33"/>
      <c r="G220" s="22" t="str">
        <f>IFERROR(INDEX('1. NhapKho'!$I$5:$I$351,MATCH($C220,'1. NhapKho'!$C$5:$C$351,0)),"")</f>
        <v/>
      </c>
      <c r="H220" s="34" t="str">
        <f>IFERROR(INDEX('1. NhapKho'!$G$5:$G$351,MATCH($C220,'1. NhapKho'!$C$5:$C$351,0)),"")</f>
        <v/>
      </c>
      <c r="I220" s="35" t="str">
        <f t="shared" si="3"/>
        <v/>
      </c>
      <c r="J220" s="36" t="str">
        <f>IFERROR(INDEX('1. NhapKho'!$F$5:$F$351,MATCH($C220,'1. NhapKho'!$C$5:$C$351,0)),"")</f>
        <v/>
      </c>
      <c r="K220" s="24"/>
    </row>
    <row r="221" spans="1:11" x14ac:dyDescent="0.2">
      <c r="A221" s="31"/>
      <c r="B221" s="32"/>
      <c r="C221" s="32"/>
      <c r="D221" s="24"/>
      <c r="E221" s="24"/>
      <c r="F221" s="33"/>
      <c r="G221" s="22" t="str">
        <f>IFERROR(INDEX('1. NhapKho'!$I$5:$I$351,MATCH($C221,'1. NhapKho'!$C$5:$C$351,0)),"")</f>
        <v/>
      </c>
      <c r="H221" s="34" t="str">
        <f>IFERROR(INDEX('1. NhapKho'!$G$5:$G$351,MATCH($C221,'1. NhapKho'!$C$5:$C$351,0)),"")</f>
        <v/>
      </c>
      <c r="I221" s="35" t="str">
        <f t="shared" si="3"/>
        <v/>
      </c>
      <c r="J221" s="36" t="str">
        <f>IFERROR(INDEX('1. NhapKho'!$F$5:$F$351,MATCH($C221,'1. NhapKho'!$C$5:$C$351,0)),"")</f>
        <v/>
      </c>
      <c r="K221" s="24"/>
    </row>
    <row r="222" spans="1:11" x14ac:dyDescent="0.2">
      <c r="A222" s="31"/>
      <c r="B222" s="32"/>
      <c r="C222" s="32"/>
      <c r="D222" s="24"/>
      <c r="E222" s="24"/>
      <c r="F222" s="33"/>
      <c r="G222" s="22" t="str">
        <f>IFERROR(INDEX('1. NhapKho'!$I$5:$I$351,MATCH($C222,'1. NhapKho'!$C$5:$C$351,0)),"")</f>
        <v/>
      </c>
      <c r="H222" s="34" t="str">
        <f>IFERROR(INDEX('1. NhapKho'!$G$5:$G$351,MATCH($C222,'1. NhapKho'!$C$5:$C$351,0)),"")</f>
        <v/>
      </c>
      <c r="I222" s="35" t="str">
        <f t="shared" si="3"/>
        <v/>
      </c>
      <c r="J222" s="36" t="str">
        <f>IFERROR(INDEX('1. NhapKho'!$F$5:$F$351,MATCH($C222,'1. NhapKho'!$C$5:$C$351,0)),"")</f>
        <v/>
      </c>
      <c r="K222" s="24"/>
    </row>
    <row r="223" spans="1:11" x14ac:dyDescent="0.2">
      <c r="A223" s="31"/>
      <c r="B223" s="32"/>
      <c r="C223" s="32"/>
      <c r="D223" s="24"/>
      <c r="E223" s="24"/>
      <c r="F223" s="33"/>
      <c r="G223" s="22" t="str">
        <f>IFERROR(INDEX('1. NhapKho'!$I$5:$I$351,MATCH($C223,'1. NhapKho'!$C$5:$C$351,0)),"")</f>
        <v/>
      </c>
      <c r="H223" s="34" t="str">
        <f>IFERROR(INDEX('1. NhapKho'!$G$5:$G$351,MATCH($C223,'1. NhapKho'!$C$5:$C$351,0)),"")</f>
        <v/>
      </c>
      <c r="I223" s="35" t="str">
        <f t="shared" si="3"/>
        <v/>
      </c>
      <c r="J223" s="36" t="str">
        <f>IFERROR(INDEX('1. NhapKho'!$F$5:$F$351,MATCH($C223,'1. NhapKho'!$C$5:$C$351,0)),"")</f>
        <v/>
      </c>
      <c r="K223" s="24"/>
    </row>
    <row r="224" spans="1:11" x14ac:dyDescent="0.2">
      <c r="A224" s="31"/>
      <c r="B224" s="32"/>
      <c r="C224" s="32"/>
      <c r="D224" s="24"/>
      <c r="E224" s="24"/>
      <c r="F224" s="33"/>
      <c r="G224" s="22" t="str">
        <f>IFERROR(INDEX('1. NhapKho'!$I$5:$I$351,MATCH($C224,'1. NhapKho'!$C$5:$C$351,0)),"")</f>
        <v/>
      </c>
      <c r="H224" s="34" t="str">
        <f>IFERROR(INDEX('1. NhapKho'!$G$5:$G$351,MATCH($C224,'1. NhapKho'!$C$5:$C$351,0)),"")</f>
        <v/>
      </c>
      <c r="I224" s="35" t="str">
        <f t="shared" si="3"/>
        <v/>
      </c>
      <c r="J224" s="36" t="str">
        <f>IFERROR(INDEX('1. NhapKho'!$F$5:$F$351,MATCH($C224,'1. NhapKho'!$C$5:$C$351,0)),"")</f>
        <v/>
      </c>
      <c r="K224" s="24"/>
    </row>
    <row r="225" spans="1:11" x14ac:dyDescent="0.2">
      <c r="A225" s="31"/>
      <c r="B225" s="32"/>
      <c r="C225" s="32"/>
      <c r="D225" s="24"/>
      <c r="E225" s="24"/>
      <c r="F225" s="33"/>
      <c r="G225" s="22" t="str">
        <f>IFERROR(INDEX('1. NhapKho'!$I$5:$I$351,MATCH($C225,'1. NhapKho'!$C$5:$C$351,0)),"")</f>
        <v/>
      </c>
      <c r="H225" s="34" t="str">
        <f>IFERROR(INDEX('1. NhapKho'!$G$5:$G$351,MATCH($C225,'1. NhapKho'!$C$5:$C$351,0)),"")</f>
        <v/>
      </c>
      <c r="I225" s="35" t="str">
        <f t="shared" si="3"/>
        <v/>
      </c>
      <c r="J225" s="36" t="str">
        <f>IFERROR(INDEX('1. NhapKho'!$F$5:$F$351,MATCH($C225,'1. NhapKho'!$C$5:$C$351,0)),"")</f>
        <v/>
      </c>
      <c r="K225" s="24"/>
    </row>
    <row r="226" spans="1:11" x14ac:dyDescent="0.2">
      <c r="A226" s="31"/>
      <c r="B226" s="32"/>
      <c r="C226" s="32"/>
      <c r="D226" s="24"/>
      <c r="E226" s="24"/>
      <c r="F226" s="33"/>
      <c r="G226" s="22" t="str">
        <f>IFERROR(INDEX('1. NhapKho'!$I$5:$I$351,MATCH($C226,'1. NhapKho'!$C$5:$C$351,0)),"")</f>
        <v/>
      </c>
      <c r="H226" s="34" t="str">
        <f>IFERROR(INDEX('1. NhapKho'!$G$5:$G$351,MATCH($C226,'1. NhapKho'!$C$5:$C$351,0)),"")</f>
        <v/>
      </c>
      <c r="I226" s="35" t="str">
        <f t="shared" si="3"/>
        <v/>
      </c>
      <c r="J226" s="36" t="str">
        <f>IFERROR(INDEX('1. NhapKho'!$F$5:$F$351,MATCH($C226,'1. NhapKho'!$C$5:$C$351,0)),"")</f>
        <v/>
      </c>
      <c r="K226" s="24"/>
    </row>
    <row r="227" spans="1:11" x14ac:dyDescent="0.2">
      <c r="A227" s="31"/>
      <c r="B227" s="32"/>
      <c r="C227" s="32"/>
      <c r="D227" s="24"/>
      <c r="E227" s="24"/>
      <c r="F227" s="33"/>
      <c r="G227" s="22" t="str">
        <f>IFERROR(INDEX('1. NhapKho'!$I$5:$I$351,MATCH($C227,'1. NhapKho'!$C$5:$C$351,0)),"")</f>
        <v/>
      </c>
      <c r="H227" s="34" t="str">
        <f>IFERROR(INDEX('1. NhapKho'!$G$5:$G$351,MATCH($C227,'1. NhapKho'!$C$5:$C$351,0)),"")</f>
        <v/>
      </c>
      <c r="I227" s="35" t="str">
        <f t="shared" si="3"/>
        <v/>
      </c>
      <c r="J227" s="36" t="str">
        <f>IFERROR(INDEX('1. NhapKho'!$F$5:$F$351,MATCH($C227,'1. NhapKho'!$C$5:$C$351,0)),"")</f>
        <v/>
      </c>
      <c r="K227" s="24"/>
    </row>
    <row r="228" spans="1:11" x14ac:dyDescent="0.2">
      <c r="A228" s="31"/>
      <c r="B228" s="32"/>
      <c r="C228" s="32"/>
      <c r="D228" s="24"/>
      <c r="E228" s="24"/>
      <c r="F228" s="33"/>
      <c r="G228" s="22" t="str">
        <f>IFERROR(INDEX('1. NhapKho'!$I$5:$I$351,MATCH($C228,'1. NhapKho'!$C$5:$C$351,0)),"")</f>
        <v/>
      </c>
      <c r="H228" s="34" t="str">
        <f>IFERROR(INDEX('1. NhapKho'!$G$5:$G$351,MATCH($C228,'1. NhapKho'!$C$5:$C$351,0)),"")</f>
        <v/>
      </c>
      <c r="I228" s="35" t="str">
        <f t="shared" si="3"/>
        <v/>
      </c>
      <c r="J228" s="36" t="str">
        <f>IFERROR(INDEX('1. NhapKho'!$F$5:$F$351,MATCH($C228,'1. NhapKho'!$C$5:$C$351,0)),"")</f>
        <v/>
      </c>
      <c r="K228" s="24"/>
    </row>
    <row r="229" spans="1:11" x14ac:dyDescent="0.2">
      <c r="A229" s="31"/>
      <c r="B229" s="32"/>
      <c r="C229" s="32"/>
      <c r="D229" s="24"/>
      <c r="E229" s="24"/>
      <c r="F229" s="33"/>
      <c r="G229" s="22" t="str">
        <f>IFERROR(INDEX('1. NhapKho'!$I$5:$I$351,MATCH($C229,'1. NhapKho'!$C$5:$C$351,0)),"")</f>
        <v/>
      </c>
      <c r="H229" s="34" t="str">
        <f>IFERROR(INDEX('1. NhapKho'!$G$5:$G$351,MATCH($C229,'1. NhapKho'!$C$5:$C$351,0)),"")</f>
        <v/>
      </c>
      <c r="I229" s="35" t="str">
        <f t="shared" si="3"/>
        <v/>
      </c>
      <c r="J229" s="36" t="str">
        <f>IFERROR(INDEX('1. NhapKho'!$F$5:$F$351,MATCH($C229,'1. NhapKho'!$C$5:$C$351,0)),"")</f>
        <v/>
      </c>
      <c r="K229" s="24"/>
    </row>
    <row r="230" spans="1:11" x14ac:dyDescent="0.2">
      <c r="A230" s="31"/>
      <c r="B230" s="32"/>
      <c r="C230" s="32"/>
      <c r="D230" s="24"/>
      <c r="E230" s="24"/>
      <c r="F230" s="33"/>
      <c r="G230" s="22" t="str">
        <f>IFERROR(INDEX('1. NhapKho'!$I$5:$I$351,MATCH($C230,'1. NhapKho'!$C$5:$C$351,0)),"")</f>
        <v/>
      </c>
      <c r="H230" s="34" t="str">
        <f>IFERROR(INDEX('1. NhapKho'!$G$5:$G$351,MATCH($C230,'1. NhapKho'!$C$5:$C$351,0)),"")</f>
        <v/>
      </c>
      <c r="I230" s="35" t="str">
        <f t="shared" si="3"/>
        <v/>
      </c>
      <c r="J230" s="36" t="str">
        <f>IFERROR(INDEX('1. NhapKho'!$F$5:$F$351,MATCH($C230,'1. NhapKho'!$C$5:$C$351,0)),"")</f>
        <v/>
      </c>
      <c r="K230" s="24"/>
    </row>
    <row r="231" spans="1:11" x14ac:dyDescent="0.2">
      <c r="A231" s="31"/>
      <c r="B231" s="32"/>
      <c r="C231" s="32"/>
      <c r="D231" s="24"/>
      <c r="E231" s="24"/>
      <c r="F231" s="33"/>
      <c r="G231" s="22" t="str">
        <f>IFERROR(INDEX('1. NhapKho'!$I$5:$I$351,MATCH($C231,'1. NhapKho'!$C$5:$C$351,0)),"")</f>
        <v/>
      </c>
      <c r="H231" s="34" t="str">
        <f>IFERROR(INDEX('1. NhapKho'!$G$5:$G$351,MATCH($C231,'1. NhapKho'!$C$5:$C$351,0)),"")</f>
        <v/>
      </c>
      <c r="I231" s="35" t="str">
        <f t="shared" si="3"/>
        <v/>
      </c>
      <c r="J231" s="36" t="str">
        <f>IFERROR(INDEX('1. NhapKho'!$F$5:$F$351,MATCH($C231,'1. NhapKho'!$C$5:$C$351,0)),"")</f>
        <v/>
      </c>
      <c r="K231" s="24"/>
    </row>
    <row r="232" spans="1:11" x14ac:dyDescent="0.2">
      <c r="A232" s="31"/>
      <c r="B232" s="32"/>
      <c r="C232" s="32"/>
      <c r="D232" s="24"/>
      <c r="E232" s="24"/>
      <c r="F232" s="33"/>
      <c r="G232" s="22" t="str">
        <f>IFERROR(INDEX('1. NhapKho'!$I$5:$I$351,MATCH($C232,'1. NhapKho'!$C$5:$C$351,0)),"")</f>
        <v/>
      </c>
      <c r="H232" s="34" t="str">
        <f>IFERROR(INDEX('1. NhapKho'!$G$5:$G$351,MATCH($C232,'1. NhapKho'!$C$5:$C$351,0)),"")</f>
        <v/>
      </c>
      <c r="I232" s="35" t="str">
        <f t="shared" si="3"/>
        <v/>
      </c>
      <c r="J232" s="36" t="str">
        <f>IFERROR(INDEX('1. NhapKho'!$F$5:$F$351,MATCH($C232,'1. NhapKho'!$C$5:$C$351,0)),"")</f>
        <v/>
      </c>
      <c r="K232" s="24"/>
    </row>
    <row r="233" spans="1:11" x14ac:dyDescent="0.2">
      <c r="A233" s="31"/>
      <c r="B233" s="32"/>
      <c r="C233" s="32"/>
      <c r="D233" s="24"/>
      <c r="E233" s="24"/>
      <c r="F233" s="33"/>
      <c r="G233" s="22" t="str">
        <f>IFERROR(INDEX('1. NhapKho'!$I$5:$I$351,MATCH($C233,'1. NhapKho'!$C$5:$C$351,0)),"")</f>
        <v/>
      </c>
      <c r="H233" s="34" t="str">
        <f>IFERROR(INDEX('1. NhapKho'!$G$5:$G$351,MATCH($C233,'1. NhapKho'!$C$5:$C$351,0)),"")</f>
        <v/>
      </c>
      <c r="I233" s="35" t="str">
        <f t="shared" si="3"/>
        <v/>
      </c>
      <c r="J233" s="36" t="str">
        <f>IFERROR(INDEX('1. NhapKho'!$F$5:$F$351,MATCH($C233,'1. NhapKho'!$C$5:$C$351,0)),"")</f>
        <v/>
      </c>
      <c r="K233" s="24"/>
    </row>
    <row r="234" spans="1:11" x14ac:dyDescent="0.2">
      <c r="A234" s="31"/>
      <c r="B234" s="32"/>
      <c r="C234" s="32"/>
      <c r="D234" s="24"/>
      <c r="E234" s="24"/>
      <c r="F234" s="33"/>
      <c r="G234" s="22" t="str">
        <f>IFERROR(INDEX('1. NhapKho'!$I$5:$I$351,MATCH($C234,'1. NhapKho'!$C$5:$C$351,0)),"")</f>
        <v/>
      </c>
      <c r="H234" s="34" t="str">
        <f>IFERROR(INDEX('1. NhapKho'!$G$5:$G$351,MATCH($C234,'1. NhapKho'!$C$5:$C$351,0)),"")</f>
        <v/>
      </c>
      <c r="I234" s="35" t="str">
        <f t="shared" si="3"/>
        <v/>
      </c>
      <c r="J234" s="36" t="str">
        <f>IFERROR(INDEX('1. NhapKho'!$F$5:$F$351,MATCH($C234,'1. NhapKho'!$C$5:$C$351,0)),"")</f>
        <v/>
      </c>
      <c r="K234" s="24"/>
    </row>
    <row r="235" spans="1:11" x14ac:dyDescent="0.2">
      <c r="A235" s="31"/>
      <c r="B235" s="32"/>
      <c r="C235" s="32"/>
      <c r="D235" s="24"/>
      <c r="E235" s="24"/>
      <c r="F235" s="33"/>
      <c r="G235" s="22" t="str">
        <f>IFERROR(INDEX('1. NhapKho'!$I$5:$I$351,MATCH($C235,'1. NhapKho'!$C$5:$C$351,0)),"")</f>
        <v/>
      </c>
      <c r="H235" s="34" t="str">
        <f>IFERROR(INDEX('1. NhapKho'!$G$5:$G$351,MATCH($C235,'1. NhapKho'!$C$5:$C$351,0)),"")</f>
        <v/>
      </c>
      <c r="I235" s="35" t="str">
        <f t="shared" si="3"/>
        <v/>
      </c>
      <c r="J235" s="36" t="str">
        <f>IFERROR(INDEX('1. NhapKho'!$F$5:$F$351,MATCH($C235,'1. NhapKho'!$C$5:$C$351,0)),"")</f>
        <v/>
      </c>
      <c r="K235" s="24"/>
    </row>
    <row r="236" spans="1:11" x14ac:dyDescent="0.2">
      <c r="A236" s="31"/>
      <c r="B236" s="32"/>
      <c r="C236" s="32"/>
      <c r="D236" s="24"/>
      <c r="E236" s="24"/>
      <c r="F236" s="33"/>
      <c r="G236" s="22" t="str">
        <f>IFERROR(INDEX('1. NhapKho'!$I$5:$I$351,MATCH($C236,'1. NhapKho'!$C$5:$C$351,0)),"")</f>
        <v/>
      </c>
      <c r="H236" s="34" t="str">
        <f>IFERROR(INDEX('1. NhapKho'!$G$5:$G$351,MATCH($C236,'1. NhapKho'!$C$5:$C$351,0)),"")</f>
        <v/>
      </c>
      <c r="I236" s="35" t="str">
        <f t="shared" si="3"/>
        <v/>
      </c>
      <c r="J236" s="36" t="str">
        <f>IFERROR(INDEX('1. NhapKho'!$F$5:$F$351,MATCH($C236,'1. NhapKho'!$C$5:$C$351,0)),"")</f>
        <v/>
      </c>
      <c r="K236" s="24"/>
    </row>
    <row r="237" spans="1:11" x14ac:dyDescent="0.2">
      <c r="A237" s="31"/>
      <c r="B237" s="32"/>
      <c r="C237" s="32"/>
      <c r="D237" s="24"/>
      <c r="E237" s="24"/>
      <c r="F237" s="33"/>
      <c r="G237" s="22" t="str">
        <f>IFERROR(INDEX('1. NhapKho'!$I$5:$I$351,MATCH($C237,'1. NhapKho'!$C$5:$C$351,0)),"")</f>
        <v/>
      </c>
      <c r="H237" s="34" t="str">
        <f>IFERROR(INDEX('1. NhapKho'!$G$5:$G$351,MATCH($C237,'1. NhapKho'!$C$5:$C$351,0)),"")</f>
        <v/>
      </c>
      <c r="I237" s="35" t="str">
        <f t="shared" si="3"/>
        <v/>
      </c>
      <c r="J237" s="36" t="str">
        <f>IFERROR(INDEX('1. NhapKho'!$F$5:$F$351,MATCH($C237,'1. NhapKho'!$C$5:$C$351,0)),"")</f>
        <v/>
      </c>
      <c r="K237" s="24"/>
    </row>
    <row r="238" spans="1:11" x14ac:dyDescent="0.2">
      <c r="A238" s="31"/>
      <c r="B238" s="32"/>
      <c r="C238" s="32"/>
      <c r="D238" s="24"/>
      <c r="E238" s="24"/>
      <c r="F238" s="33"/>
      <c r="G238" s="22" t="str">
        <f>IFERROR(INDEX('1. NhapKho'!$I$5:$I$351,MATCH($C238,'1. NhapKho'!$C$5:$C$351,0)),"")</f>
        <v/>
      </c>
      <c r="H238" s="34" t="str">
        <f>IFERROR(INDEX('1. NhapKho'!$G$5:$G$351,MATCH($C238,'1. NhapKho'!$C$5:$C$351,0)),"")</f>
        <v/>
      </c>
      <c r="I238" s="35" t="str">
        <f t="shared" si="3"/>
        <v/>
      </c>
      <c r="J238" s="36" t="str">
        <f>IFERROR(INDEX('1. NhapKho'!$F$5:$F$351,MATCH($C238,'1. NhapKho'!$C$5:$C$351,0)),"")</f>
        <v/>
      </c>
      <c r="K238" s="24"/>
    </row>
    <row r="239" spans="1:11" x14ac:dyDescent="0.2">
      <c r="A239" s="31"/>
      <c r="B239" s="32"/>
      <c r="C239" s="32"/>
      <c r="D239" s="24"/>
      <c r="E239" s="24"/>
      <c r="F239" s="33"/>
      <c r="G239" s="22" t="str">
        <f>IFERROR(INDEX('1. NhapKho'!$I$5:$I$351,MATCH($C239,'1. NhapKho'!$C$5:$C$351,0)),"")</f>
        <v/>
      </c>
      <c r="H239" s="34" t="str">
        <f>IFERROR(INDEX('1. NhapKho'!$G$5:$G$351,MATCH($C239,'1. NhapKho'!$C$5:$C$351,0)),"")</f>
        <v/>
      </c>
      <c r="I239" s="35" t="str">
        <f t="shared" si="3"/>
        <v/>
      </c>
      <c r="J239" s="36" t="str">
        <f>IFERROR(INDEX('1. NhapKho'!$F$5:$F$351,MATCH($C239,'1. NhapKho'!$C$5:$C$351,0)),"")</f>
        <v/>
      </c>
      <c r="K239" s="24"/>
    </row>
    <row r="240" spans="1:11" x14ac:dyDescent="0.2">
      <c r="A240" s="31"/>
      <c r="B240" s="32"/>
      <c r="C240" s="32"/>
      <c r="D240" s="24"/>
      <c r="E240" s="24"/>
      <c r="F240" s="33"/>
      <c r="G240" s="22" t="str">
        <f>IFERROR(INDEX('1. NhapKho'!$I$5:$I$351,MATCH($C240,'1. NhapKho'!$C$5:$C$351,0)),"")</f>
        <v/>
      </c>
      <c r="H240" s="34" t="str">
        <f>IFERROR(INDEX('1. NhapKho'!$G$5:$G$351,MATCH($C240,'1. NhapKho'!$C$5:$C$351,0)),"")</f>
        <v/>
      </c>
      <c r="I240" s="35" t="str">
        <f t="shared" si="3"/>
        <v/>
      </c>
      <c r="J240" s="36" t="str">
        <f>IFERROR(INDEX('1. NhapKho'!$F$5:$F$351,MATCH($C240,'1. NhapKho'!$C$5:$C$351,0)),"")</f>
        <v/>
      </c>
      <c r="K240" s="24"/>
    </row>
    <row r="241" spans="1:11" x14ac:dyDescent="0.2">
      <c r="A241" s="31"/>
      <c r="B241" s="32"/>
      <c r="C241" s="32"/>
      <c r="D241" s="24"/>
      <c r="E241" s="24"/>
      <c r="F241" s="33"/>
      <c r="G241" s="22" t="str">
        <f>IFERROR(INDEX('1. NhapKho'!$I$5:$I$351,MATCH($C241,'1. NhapKho'!$C$5:$C$351,0)),"")</f>
        <v/>
      </c>
      <c r="H241" s="34" t="str">
        <f>IFERROR(INDEX('1. NhapKho'!$G$5:$G$351,MATCH($C241,'1. NhapKho'!$C$5:$C$351,0)),"")</f>
        <v/>
      </c>
      <c r="I241" s="35" t="str">
        <f t="shared" si="3"/>
        <v/>
      </c>
      <c r="J241" s="36" t="str">
        <f>IFERROR(INDEX('1. NhapKho'!$F$5:$F$351,MATCH($C241,'1. NhapKho'!$C$5:$C$351,0)),"")</f>
        <v/>
      </c>
      <c r="K241" s="24"/>
    </row>
    <row r="242" spans="1:11" x14ac:dyDescent="0.2">
      <c r="A242" s="31"/>
      <c r="B242" s="32"/>
      <c r="C242" s="32"/>
      <c r="D242" s="24"/>
      <c r="E242" s="24"/>
      <c r="F242" s="33"/>
      <c r="G242" s="22" t="str">
        <f>IFERROR(INDEX('1. NhapKho'!$I$5:$I$351,MATCH($C242,'1. NhapKho'!$C$5:$C$351,0)),"")</f>
        <v/>
      </c>
      <c r="H242" s="34" t="str">
        <f>IFERROR(INDEX('1. NhapKho'!$G$5:$G$351,MATCH($C242,'1. NhapKho'!$C$5:$C$351,0)),"")</f>
        <v/>
      </c>
      <c r="I242" s="35" t="str">
        <f t="shared" si="3"/>
        <v/>
      </c>
      <c r="J242" s="36" t="str">
        <f>IFERROR(INDEX('1. NhapKho'!$F$5:$F$351,MATCH($C242,'1. NhapKho'!$C$5:$C$351,0)),"")</f>
        <v/>
      </c>
      <c r="K242" s="24"/>
    </row>
    <row r="243" spans="1:11" x14ac:dyDescent="0.2">
      <c r="A243" s="31"/>
      <c r="B243" s="32"/>
      <c r="C243" s="32"/>
      <c r="D243" s="24"/>
      <c r="E243" s="24"/>
      <c r="F243" s="33"/>
      <c r="G243" s="22" t="str">
        <f>IFERROR(INDEX('1. NhapKho'!$I$5:$I$351,MATCH($C243,'1. NhapKho'!$C$5:$C$351,0)),"")</f>
        <v/>
      </c>
      <c r="H243" s="34" t="str">
        <f>IFERROR(INDEX('1. NhapKho'!$G$5:$G$351,MATCH($C243,'1. NhapKho'!$C$5:$C$351,0)),"")</f>
        <v/>
      </c>
      <c r="I243" s="35" t="str">
        <f t="shared" si="3"/>
        <v/>
      </c>
      <c r="J243" s="36" t="str">
        <f>IFERROR(INDEX('1. NhapKho'!$F$5:$F$351,MATCH($C243,'1. NhapKho'!$C$5:$C$351,0)),"")</f>
        <v/>
      </c>
      <c r="K243" s="24"/>
    </row>
    <row r="244" spans="1:11" x14ac:dyDescent="0.2">
      <c r="A244" s="31"/>
      <c r="B244" s="32"/>
      <c r="C244" s="32"/>
      <c r="D244" s="24"/>
      <c r="E244" s="24"/>
      <c r="F244" s="33"/>
      <c r="G244" s="22" t="str">
        <f>IFERROR(INDEX('1. NhapKho'!$I$5:$I$351,MATCH($C244,'1. NhapKho'!$C$5:$C$351,0)),"")</f>
        <v/>
      </c>
      <c r="H244" s="34" t="str">
        <f>IFERROR(INDEX('1. NhapKho'!$G$5:$G$351,MATCH($C244,'1. NhapKho'!$C$5:$C$351,0)),"")</f>
        <v/>
      </c>
      <c r="I244" s="35" t="str">
        <f t="shared" si="3"/>
        <v/>
      </c>
      <c r="J244" s="36" t="str">
        <f>IFERROR(INDEX('1. NhapKho'!$F$5:$F$351,MATCH($C244,'1. NhapKho'!$C$5:$C$351,0)),"")</f>
        <v/>
      </c>
      <c r="K244" s="24"/>
    </row>
    <row r="245" spans="1:11" x14ac:dyDescent="0.2">
      <c r="A245" s="31"/>
      <c r="B245" s="32"/>
      <c r="C245" s="32"/>
      <c r="D245" s="24"/>
      <c r="E245" s="24"/>
      <c r="F245" s="33"/>
      <c r="G245" s="22" t="str">
        <f>IFERROR(INDEX('1. NhapKho'!$I$5:$I$351,MATCH($C245,'1. NhapKho'!$C$5:$C$351,0)),"")</f>
        <v/>
      </c>
      <c r="H245" s="34" t="str">
        <f>IFERROR(INDEX('1. NhapKho'!$G$5:$G$351,MATCH($C245,'1. NhapKho'!$C$5:$C$351,0)),"")</f>
        <v/>
      </c>
      <c r="I245" s="35" t="str">
        <f t="shared" si="3"/>
        <v/>
      </c>
      <c r="J245" s="36" t="str">
        <f>IFERROR(INDEX('1. NhapKho'!$F$5:$F$351,MATCH($C245,'1. NhapKho'!$C$5:$C$351,0)),"")</f>
        <v/>
      </c>
      <c r="K245" s="24"/>
    </row>
    <row r="246" spans="1:11" x14ac:dyDescent="0.2">
      <c r="A246" s="31"/>
      <c r="B246" s="32"/>
      <c r="C246" s="32"/>
      <c r="D246" s="24"/>
      <c r="E246" s="24"/>
      <c r="F246" s="33"/>
      <c r="G246" s="22" t="str">
        <f>IFERROR(INDEX('1. NhapKho'!$I$5:$I$351,MATCH($C246,'1. NhapKho'!$C$5:$C$351,0)),"")</f>
        <v/>
      </c>
      <c r="H246" s="34" t="str">
        <f>IFERROR(INDEX('1. NhapKho'!$G$5:$G$351,MATCH($C246,'1. NhapKho'!$C$5:$C$351,0)),"")</f>
        <v/>
      </c>
      <c r="I246" s="35" t="str">
        <f t="shared" si="3"/>
        <v/>
      </c>
      <c r="J246" s="36" t="str">
        <f>IFERROR(INDEX('1. NhapKho'!$F$5:$F$351,MATCH($C246,'1. NhapKho'!$C$5:$C$351,0)),"")</f>
        <v/>
      </c>
      <c r="K246" s="24"/>
    </row>
    <row r="247" spans="1:11" x14ac:dyDescent="0.2">
      <c r="A247" s="31"/>
      <c r="B247" s="32"/>
      <c r="C247" s="32"/>
      <c r="D247" s="24"/>
      <c r="E247" s="24"/>
      <c r="F247" s="33"/>
      <c r="G247" s="22" t="str">
        <f>IFERROR(INDEX('1. NhapKho'!$I$5:$I$351,MATCH($C247,'1. NhapKho'!$C$5:$C$351,0)),"")</f>
        <v/>
      </c>
      <c r="H247" s="34" t="str">
        <f>IFERROR(INDEX('1. NhapKho'!$G$5:$G$351,MATCH($C247,'1. NhapKho'!$C$5:$C$351,0)),"")</f>
        <v/>
      </c>
      <c r="I247" s="35" t="str">
        <f t="shared" si="3"/>
        <v/>
      </c>
      <c r="J247" s="36" t="str">
        <f>IFERROR(INDEX('1. NhapKho'!$F$5:$F$351,MATCH($C247,'1. NhapKho'!$C$5:$C$351,0)),"")</f>
        <v/>
      </c>
      <c r="K247" s="24"/>
    </row>
    <row r="248" spans="1:11" x14ac:dyDescent="0.2">
      <c r="A248" s="31"/>
      <c r="B248" s="32"/>
      <c r="C248" s="32"/>
      <c r="D248" s="24"/>
      <c r="E248" s="24"/>
      <c r="F248" s="33"/>
      <c r="G248" s="22" t="str">
        <f>IFERROR(INDEX('1. NhapKho'!$I$5:$I$351,MATCH($C248,'1. NhapKho'!$C$5:$C$351,0)),"")</f>
        <v/>
      </c>
      <c r="H248" s="34" t="str">
        <f>IFERROR(INDEX('1. NhapKho'!$G$5:$G$351,MATCH($C248,'1. NhapKho'!$C$5:$C$351,0)),"")</f>
        <v/>
      </c>
      <c r="I248" s="35" t="str">
        <f t="shared" si="3"/>
        <v/>
      </c>
      <c r="J248" s="36" t="str">
        <f>IFERROR(INDEX('1. NhapKho'!$F$5:$F$351,MATCH($C248,'1. NhapKho'!$C$5:$C$351,0)),"")</f>
        <v/>
      </c>
      <c r="K248" s="24"/>
    </row>
    <row r="249" spans="1:11" x14ac:dyDescent="0.2">
      <c r="A249" s="31"/>
      <c r="B249" s="32"/>
      <c r="C249" s="32"/>
      <c r="D249" s="24"/>
      <c r="E249" s="24"/>
      <c r="F249" s="33"/>
      <c r="G249" s="22" t="str">
        <f>IFERROR(INDEX('1. NhapKho'!$I$5:$I$351,MATCH($C249,'1. NhapKho'!$C$5:$C$351,0)),"")</f>
        <v/>
      </c>
      <c r="H249" s="34" t="str">
        <f>IFERROR(INDEX('1. NhapKho'!$G$5:$G$351,MATCH($C249,'1. NhapKho'!$C$5:$C$351,0)),"")</f>
        <v/>
      </c>
      <c r="I249" s="35" t="str">
        <f t="shared" si="3"/>
        <v/>
      </c>
      <c r="J249" s="36" t="str">
        <f>IFERROR(INDEX('1. NhapKho'!$F$5:$F$351,MATCH($C249,'1. NhapKho'!$C$5:$C$351,0)),"")</f>
        <v/>
      </c>
      <c r="K249" s="24"/>
    </row>
    <row r="250" spans="1:11" x14ac:dyDescent="0.2">
      <c r="A250" s="31"/>
      <c r="B250" s="32"/>
      <c r="C250" s="32"/>
      <c r="D250" s="24"/>
      <c r="E250" s="24"/>
      <c r="F250" s="33"/>
      <c r="G250" s="22" t="str">
        <f>IFERROR(INDEX('1. NhapKho'!$I$5:$I$351,MATCH($C250,'1. NhapKho'!$C$5:$C$351,0)),"")</f>
        <v/>
      </c>
      <c r="H250" s="34" t="str">
        <f>IFERROR(INDEX('1. NhapKho'!$G$5:$G$351,MATCH($C250,'1. NhapKho'!$C$5:$C$351,0)),"")</f>
        <v/>
      </c>
      <c r="I250" s="35" t="str">
        <f t="shared" si="3"/>
        <v/>
      </c>
      <c r="J250" s="36" t="str">
        <f>IFERROR(INDEX('1. NhapKho'!$F$5:$F$351,MATCH($C250,'1. NhapKho'!$C$5:$C$351,0)),"")</f>
        <v/>
      </c>
      <c r="K250" s="24"/>
    </row>
    <row r="251" spans="1:11" x14ac:dyDescent="0.2">
      <c r="A251" s="31"/>
      <c r="B251" s="32"/>
      <c r="C251" s="32"/>
      <c r="D251" s="24"/>
      <c r="E251" s="24"/>
      <c r="F251" s="33"/>
      <c r="G251" s="22" t="str">
        <f>IFERROR(INDEX('1. NhapKho'!$I$5:$I$351,MATCH($C251,'1. NhapKho'!$C$5:$C$351,0)),"")</f>
        <v/>
      </c>
      <c r="H251" s="34" t="str">
        <f>IFERROR(INDEX('1. NhapKho'!$G$5:$G$351,MATCH($C251,'1. NhapKho'!$C$5:$C$351,0)),"")</f>
        <v/>
      </c>
      <c r="I251" s="35" t="str">
        <f t="shared" si="3"/>
        <v/>
      </c>
      <c r="J251" s="36" t="str">
        <f>IFERROR(INDEX('1. NhapKho'!$F$5:$F$351,MATCH($C251,'1. NhapKho'!$C$5:$C$351,0)),"")</f>
        <v/>
      </c>
      <c r="K251" s="24"/>
    </row>
    <row r="252" spans="1:11" x14ac:dyDescent="0.2">
      <c r="A252" s="31"/>
      <c r="B252" s="32"/>
      <c r="C252" s="32"/>
      <c r="D252" s="24"/>
      <c r="E252" s="24"/>
      <c r="F252" s="33"/>
      <c r="G252" s="22" t="str">
        <f>IFERROR(INDEX('1. NhapKho'!$I$5:$I$351,MATCH($C252,'1. NhapKho'!$C$5:$C$351,0)),"")</f>
        <v/>
      </c>
      <c r="H252" s="34" t="str">
        <f>IFERROR(INDEX('1. NhapKho'!$G$5:$G$351,MATCH($C252,'1. NhapKho'!$C$5:$C$351,0)),"")</f>
        <v/>
      </c>
      <c r="I252" s="35" t="str">
        <f t="shared" si="3"/>
        <v/>
      </c>
      <c r="J252" s="36" t="str">
        <f>IFERROR(INDEX('1. NhapKho'!$F$5:$F$351,MATCH($C252,'1. NhapKho'!$C$5:$C$351,0)),"")</f>
        <v/>
      </c>
      <c r="K252" s="24"/>
    </row>
    <row r="253" spans="1:11" x14ac:dyDescent="0.2">
      <c r="A253" s="31"/>
      <c r="B253" s="32"/>
      <c r="C253" s="32"/>
      <c r="D253" s="24"/>
      <c r="E253" s="24"/>
      <c r="F253" s="33"/>
      <c r="G253" s="22" t="str">
        <f>IFERROR(INDEX('1. NhapKho'!$I$5:$I$351,MATCH($C253,'1. NhapKho'!$C$5:$C$351,0)),"")</f>
        <v/>
      </c>
      <c r="H253" s="34" t="str">
        <f>IFERROR(INDEX('1. NhapKho'!$G$5:$G$351,MATCH($C253,'1. NhapKho'!$C$5:$C$351,0)),"")</f>
        <v/>
      </c>
      <c r="I253" s="35" t="str">
        <f t="shared" si="3"/>
        <v/>
      </c>
      <c r="J253" s="36" t="str">
        <f>IFERROR(INDEX('1. NhapKho'!$F$5:$F$351,MATCH($C253,'1. NhapKho'!$C$5:$C$351,0)),"")</f>
        <v/>
      </c>
      <c r="K253" s="24"/>
    </row>
    <row r="254" spans="1:11" x14ac:dyDescent="0.2">
      <c r="A254" s="31"/>
      <c r="B254" s="32"/>
      <c r="C254" s="32"/>
      <c r="D254" s="24"/>
      <c r="E254" s="24"/>
      <c r="F254" s="33"/>
      <c r="G254" s="22" t="str">
        <f>IFERROR(INDEX('1. NhapKho'!$I$5:$I$351,MATCH($C254,'1. NhapKho'!$C$5:$C$351,0)),"")</f>
        <v/>
      </c>
      <c r="H254" s="34" t="str">
        <f>IFERROR(INDEX('1. NhapKho'!$G$5:$G$351,MATCH($C254,'1. NhapKho'!$C$5:$C$351,0)),"")</f>
        <v/>
      </c>
      <c r="I254" s="35" t="str">
        <f t="shared" si="3"/>
        <v/>
      </c>
      <c r="J254" s="36" t="str">
        <f>IFERROR(INDEX('1. NhapKho'!$F$5:$F$351,MATCH($C254,'1. NhapKho'!$C$5:$C$351,0)),"")</f>
        <v/>
      </c>
      <c r="K254" s="24"/>
    </row>
    <row r="256" spans="1:11" x14ac:dyDescent="0.2">
      <c r="E256" s="28" t="s">
        <v>528</v>
      </c>
      <c r="F256" s="29">
        <f>SUM(F5:F254)</f>
        <v>0</v>
      </c>
      <c r="I256" s="30">
        <f>SUM(I5:I254)</f>
        <v>0</v>
      </c>
    </row>
  </sheetData>
  <autoFilter ref="A4:K254" xr:uid="{00000000-0009-0000-0000-000004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Không hợp lệ" error="Chọn từ danh sách." xr:uid="{00000000-0002-0000-0400-000000000000}">
          <x14:formula1>
            <xm:f>'1. NhapKho'!$C$5:$C$351</xm:f>
          </x14:formula1>
          <xm:sqref>C5:C254</xm:sqref>
        </x14:dataValidation>
        <x14:dataValidation type="list" allowBlank="1" errorTitle="Không hợp lệ" error="Chọn từ danh sách." xr:uid="{00000000-0002-0000-0400-000001000000}">
          <x14:formula1>
            <xm:f>'DM. Hợp đồng bán'!$A$5:$A$214</xm:f>
          </x14:formula1>
          <xm:sqref>D5:D254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showGridLines="0" zoomScaleNormal="100" workbookViewId="0">
      <pane xSplit="3" ySplit="4" topLeftCell="H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3" customWidth="1"/>
    <col min="2" max="2" width="12" customWidth="1"/>
    <col min="3" max="3" width="13" customWidth="1"/>
    <col min="4" max="4" width="20" customWidth="1"/>
    <col min="5" max="5" width="58" customWidth="1"/>
    <col min="6" max="6" width="10" customWidth="1"/>
    <col min="7" max="7" width="11" customWidth="1"/>
    <col min="8" max="8" width="10" customWidth="1"/>
    <col min="9" max="9" width="17" customWidth="1"/>
    <col min="10" max="10" width="19" customWidth="1"/>
    <col min="11" max="11" width="26" customWidth="1"/>
  </cols>
  <sheetData>
    <row r="1" spans="1:11" ht="18" customHeight="1" x14ac:dyDescent="0.2">
      <c r="A1" s="1" t="s">
        <v>540</v>
      </c>
    </row>
    <row r="2" spans="1:11" x14ac:dyDescent="0.2">
      <c r="A2" s="2" t="s">
        <v>541</v>
      </c>
    </row>
    <row r="4" spans="1:11" ht="36" customHeight="1" x14ac:dyDescent="0.2">
      <c r="A4" s="10" t="s">
        <v>429</v>
      </c>
      <c r="B4" s="10" t="s">
        <v>542</v>
      </c>
      <c r="C4" s="10" t="s">
        <v>428</v>
      </c>
      <c r="D4" s="10" t="s">
        <v>40</v>
      </c>
      <c r="E4" s="10" t="s">
        <v>543</v>
      </c>
      <c r="F4" s="10" t="s">
        <v>433</v>
      </c>
      <c r="G4" s="10" t="s">
        <v>544</v>
      </c>
      <c r="H4" s="10" t="s">
        <v>545</v>
      </c>
      <c r="I4" s="10" t="s">
        <v>546</v>
      </c>
      <c r="J4" s="10" t="s">
        <v>547</v>
      </c>
      <c r="K4" s="10" t="s">
        <v>28</v>
      </c>
    </row>
    <row r="5" spans="1:11" ht="26" customHeight="1" x14ac:dyDescent="0.2">
      <c r="A5" s="37" t="s">
        <v>439</v>
      </c>
      <c r="B5" s="38">
        <v>46193</v>
      </c>
      <c r="C5" s="13" t="s">
        <v>438</v>
      </c>
      <c r="D5" s="4" t="s">
        <v>206</v>
      </c>
      <c r="E5" s="14" t="s">
        <v>441</v>
      </c>
      <c r="F5" s="39">
        <f>IFERROR(INDEX('1. NhapKho'!$H$5:$H$351,MATCH($A5,'1. NhapKho'!$C$5:$C$351,0)),0)</f>
        <v>4</v>
      </c>
      <c r="G5" s="39">
        <f>SUMIFS('2. XuatKho'!$F$5:$F$254,'2. XuatKho'!$C$5:$C$254,$A5)</f>
        <v>0</v>
      </c>
      <c r="H5" s="40">
        <f t="shared" ref="H5:H51" si="0">F5-G5</f>
        <v>4</v>
      </c>
      <c r="I5" s="22">
        <f>IFERROR(INDEX('1. NhapKho'!$I$5:$I$351,MATCH($A5,'1. NhapKho'!$C$5:$C$351,0)),0)</f>
        <v>6000000</v>
      </c>
      <c r="J5" s="21">
        <f t="shared" ref="J5:J51" si="1">H5*I5</f>
        <v>24000000</v>
      </c>
      <c r="K5" s="41" t="str">
        <f t="shared" ref="K5:K51" si="2">IF(H5&lt;0,"XUẤT QUÁ TỒN "&amp;-H5&amp;" bình","")</f>
        <v/>
      </c>
    </row>
    <row r="6" spans="1:11" ht="26" customHeight="1" x14ac:dyDescent="0.2">
      <c r="A6" s="37" t="s">
        <v>442</v>
      </c>
      <c r="B6" s="38">
        <v>46193</v>
      </c>
      <c r="C6" s="13" t="s">
        <v>438</v>
      </c>
      <c r="D6" s="4" t="s">
        <v>141</v>
      </c>
      <c r="E6" s="14" t="s">
        <v>443</v>
      </c>
      <c r="F6" s="39">
        <f>IFERROR(INDEX('1. NhapKho'!$H$5:$H$351,MATCH($A6,'1. NhapKho'!$C$5:$C$351,0)),0)</f>
        <v>1</v>
      </c>
      <c r="G6" s="39">
        <f>SUMIFS('2. XuatKho'!$F$5:$F$254,'2. XuatKho'!$C$5:$C$254,$A6)</f>
        <v>0</v>
      </c>
      <c r="H6" s="40">
        <f t="shared" si="0"/>
        <v>1</v>
      </c>
      <c r="I6" s="22">
        <f>IFERROR(INDEX('1. NhapKho'!$I$5:$I$351,MATCH($A6,'1. NhapKho'!$C$5:$C$351,0)),0)</f>
        <v>22000000</v>
      </c>
      <c r="J6" s="21">
        <f t="shared" si="1"/>
        <v>22000000</v>
      </c>
      <c r="K6" s="41" t="str">
        <f t="shared" si="2"/>
        <v/>
      </c>
    </row>
    <row r="7" spans="1:11" ht="26" customHeight="1" x14ac:dyDescent="0.2">
      <c r="A7" s="37" t="s">
        <v>444</v>
      </c>
      <c r="B7" s="38">
        <v>46193</v>
      </c>
      <c r="C7" s="13" t="s">
        <v>438</v>
      </c>
      <c r="D7" s="4" t="s">
        <v>167</v>
      </c>
      <c r="E7" s="14" t="s">
        <v>445</v>
      </c>
      <c r="F7" s="39">
        <f>IFERROR(INDEX('1. NhapKho'!$H$5:$H$351,MATCH($A7,'1. NhapKho'!$C$5:$C$351,0)),0)</f>
        <v>1</v>
      </c>
      <c r="G7" s="39">
        <f>SUMIFS('2. XuatKho'!$F$5:$F$254,'2. XuatKho'!$C$5:$C$254,$A7)</f>
        <v>0</v>
      </c>
      <c r="H7" s="40">
        <f t="shared" si="0"/>
        <v>1</v>
      </c>
      <c r="I7" s="22">
        <f>IFERROR(INDEX('1. NhapKho'!$I$5:$I$351,MATCH($A7,'1. NhapKho'!$C$5:$C$351,0)),0)</f>
        <v>22000000</v>
      </c>
      <c r="J7" s="21">
        <f t="shared" si="1"/>
        <v>22000000</v>
      </c>
      <c r="K7" s="41" t="str">
        <f t="shared" si="2"/>
        <v/>
      </c>
    </row>
    <row r="8" spans="1:11" ht="26" customHeight="1" x14ac:dyDescent="0.2">
      <c r="A8" s="37" t="s">
        <v>446</v>
      </c>
      <c r="B8" s="38">
        <v>46193</v>
      </c>
      <c r="C8" s="13" t="s">
        <v>438</v>
      </c>
      <c r="D8" s="4" t="s">
        <v>167</v>
      </c>
      <c r="E8" s="14" t="s">
        <v>445</v>
      </c>
      <c r="F8" s="39">
        <f>IFERROR(INDEX('1. NhapKho'!$H$5:$H$351,MATCH($A8,'1. NhapKho'!$C$5:$C$351,0)),0)</f>
        <v>1</v>
      </c>
      <c r="G8" s="39">
        <f>SUMIFS('2. XuatKho'!$F$5:$F$254,'2. XuatKho'!$C$5:$C$254,$A8)</f>
        <v>0</v>
      </c>
      <c r="H8" s="40">
        <f t="shared" si="0"/>
        <v>1</v>
      </c>
      <c r="I8" s="22">
        <f>IFERROR(INDEX('1. NhapKho'!$I$5:$I$351,MATCH($A8,'1. NhapKho'!$C$5:$C$351,0)),0)</f>
        <v>22000000</v>
      </c>
      <c r="J8" s="21">
        <f t="shared" si="1"/>
        <v>22000000</v>
      </c>
      <c r="K8" s="41" t="str">
        <f t="shared" si="2"/>
        <v/>
      </c>
    </row>
    <row r="9" spans="1:11" ht="26" customHeight="1" x14ac:dyDescent="0.2">
      <c r="A9" s="37" t="s">
        <v>447</v>
      </c>
      <c r="B9" s="38">
        <v>46193</v>
      </c>
      <c r="C9" s="13" t="s">
        <v>438</v>
      </c>
      <c r="D9" s="4" t="s">
        <v>204</v>
      </c>
      <c r="E9" s="14" t="s">
        <v>448</v>
      </c>
      <c r="F9" s="39">
        <f>IFERROR(INDEX('1. NhapKho'!$H$5:$H$351,MATCH($A9,'1. NhapKho'!$C$5:$C$351,0)),0)</f>
        <v>12</v>
      </c>
      <c r="G9" s="39">
        <f>SUMIFS('2. XuatKho'!$F$5:$F$254,'2. XuatKho'!$C$5:$C$254,$A9)</f>
        <v>0</v>
      </c>
      <c r="H9" s="40">
        <f t="shared" si="0"/>
        <v>12</v>
      </c>
      <c r="I9" s="22">
        <f>IFERROR(INDEX('1. NhapKho'!$I$5:$I$351,MATCH($A9,'1. NhapKho'!$C$5:$C$351,0)),0)</f>
        <v>5000000</v>
      </c>
      <c r="J9" s="21">
        <f t="shared" si="1"/>
        <v>60000000</v>
      </c>
      <c r="K9" s="41" t="str">
        <f t="shared" si="2"/>
        <v/>
      </c>
    </row>
    <row r="10" spans="1:11" ht="39" customHeight="1" x14ac:dyDescent="0.2">
      <c r="A10" s="37" t="s">
        <v>449</v>
      </c>
      <c r="B10" s="38">
        <v>46193</v>
      </c>
      <c r="C10" s="13" t="s">
        <v>438</v>
      </c>
      <c r="D10" s="4" t="s">
        <v>240</v>
      </c>
      <c r="E10" s="14" t="s">
        <v>450</v>
      </c>
      <c r="F10" s="39">
        <f>IFERROR(INDEX('1. NhapKho'!$H$5:$H$351,MATCH($A10,'1. NhapKho'!$C$5:$C$351,0)),0)</f>
        <v>11</v>
      </c>
      <c r="G10" s="39">
        <f>SUMIFS('2. XuatKho'!$F$5:$F$254,'2. XuatKho'!$C$5:$C$254,$A10)</f>
        <v>0</v>
      </c>
      <c r="H10" s="40">
        <f t="shared" si="0"/>
        <v>11</v>
      </c>
      <c r="I10" s="22">
        <f>IFERROR(INDEX('1. NhapKho'!$I$5:$I$351,MATCH($A10,'1. NhapKho'!$C$5:$C$351,0)),0)</f>
        <v>7000000</v>
      </c>
      <c r="J10" s="21">
        <f t="shared" si="1"/>
        <v>77000000</v>
      </c>
      <c r="K10" s="41" t="str">
        <f t="shared" si="2"/>
        <v/>
      </c>
    </row>
    <row r="11" spans="1:11" ht="26" customHeight="1" x14ac:dyDescent="0.2">
      <c r="A11" s="37" t="s">
        <v>451</v>
      </c>
      <c r="B11" s="38">
        <v>46193</v>
      </c>
      <c r="C11" s="13" t="s">
        <v>438</v>
      </c>
      <c r="D11" s="4" t="s">
        <v>191</v>
      </c>
      <c r="E11" s="14" t="s">
        <v>452</v>
      </c>
      <c r="F11" s="39">
        <f>IFERROR(INDEX('1. NhapKho'!$H$5:$H$351,MATCH($A11,'1. NhapKho'!$C$5:$C$351,0)),0)</f>
        <v>2</v>
      </c>
      <c r="G11" s="39">
        <f>SUMIFS('2. XuatKho'!$F$5:$F$254,'2. XuatKho'!$C$5:$C$254,$A11)</f>
        <v>0</v>
      </c>
      <c r="H11" s="40">
        <f t="shared" si="0"/>
        <v>2</v>
      </c>
      <c r="I11" s="22">
        <f>IFERROR(INDEX('1. NhapKho'!$I$5:$I$351,MATCH($A11,'1. NhapKho'!$C$5:$C$351,0)),0)</f>
        <v>9000000</v>
      </c>
      <c r="J11" s="21">
        <f t="shared" si="1"/>
        <v>18000000</v>
      </c>
      <c r="K11" s="41" t="str">
        <f t="shared" si="2"/>
        <v/>
      </c>
    </row>
    <row r="12" spans="1:11" ht="26" customHeight="1" x14ac:dyDescent="0.2">
      <c r="A12" s="37" t="s">
        <v>453</v>
      </c>
      <c r="B12" s="38">
        <v>46193</v>
      </c>
      <c r="C12" s="13" t="s">
        <v>438</v>
      </c>
      <c r="D12" s="4" t="s">
        <v>127</v>
      </c>
      <c r="E12" s="14" t="s">
        <v>454</v>
      </c>
      <c r="F12" s="39">
        <f>IFERROR(INDEX('1. NhapKho'!$H$5:$H$351,MATCH($A12,'1. NhapKho'!$C$5:$C$351,0)),0)</f>
        <v>2</v>
      </c>
      <c r="G12" s="39">
        <f>SUMIFS('2. XuatKho'!$F$5:$F$254,'2. XuatKho'!$C$5:$C$254,$A12)</f>
        <v>0</v>
      </c>
      <c r="H12" s="40">
        <f t="shared" si="0"/>
        <v>2</v>
      </c>
      <c r="I12" s="22">
        <f>IFERROR(INDEX('1. NhapKho'!$I$5:$I$351,MATCH($A12,'1. NhapKho'!$C$5:$C$351,0)),0)</f>
        <v>10000000</v>
      </c>
      <c r="J12" s="21">
        <f t="shared" si="1"/>
        <v>20000000</v>
      </c>
      <c r="K12" s="41" t="str">
        <f t="shared" si="2"/>
        <v/>
      </c>
    </row>
    <row r="13" spans="1:11" ht="26" customHeight="1" x14ac:dyDescent="0.2">
      <c r="A13" s="37" t="s">
        <v>455</v>
      </c>
      <c r="B13" s="38">
        <v>46193</v>
      </c>
      <c r="C13" s="13" t="s">
        <v>438</v>
      </c>
      <c r="D13" s="4" t="s">
        <v>224</v>
      </c>
      <c r="E13" s="14" t="s">
        <v>456</v>
      </c>
      <c r="F13" s="39">
        <f>IFERROR(INDEX('1. NhapKho'!$H$5:$H$351,MATCH($A13,'1. NhapKho'!$C$5:$C$351,0)),0)</f>
        <v>2</v>
      </c>
      <c r="G13" s="39">
        <f>SUMIFS('2. XuatKho'!$F$5:$F$254,'2. XuatKho'!$C$5:$C$254,$A13)</f>
        <v>0</v>
      </c>
      <c r="H13" s="40">
        <f t="shared" si="0"/>
        <v>2</v>
      </c>
      <c r="I13" s="22">
        <f>IFERROR(INDEX('1. NhapKho'!$I$5:$I$351,MATCH($A13,'1. NhapKho'!$C$5:$C$351,0)),0)</f>
        <v>7000000</v>
      </c>
      <c r="J13" s="21">
        <f t="shared" si="1"/>
        <v>14000000</v>
      </c>
      <c r="K13" s="41" t="str">
        <f t="shared" si="2"/>
        <v/>
      </c>
    </row>
    <row r="14" spans="1:11" ht="26" customHeight="1" x14ac:dyDescent="0.2">
      <c r="A14" s="37" t="s">
        <v>457</v>
      </c>
      <c r="B14" s="38">
        <v>46193</v>
      </c>
      <c r="C14" s="13" t="s">
        <v>438</v>
      </c>
      <c r="D14" s="4" t="s">
        <v>99</v>
      </c>
      <c r="E14" s="14" t="s">
        <v>458</v>
      </c>
      <c r="F14" s="39">
        <f>IFERROR(INDEX('1. NhapKho'!$H$5:$H$351,MATCH($A14,'1. NhapKho'!$C$5:$C$351,0)),0)</f>
        <v>1</v>
      </c>
      <c r="G14" s="39">
        <f>SUMIFS('2. XuatKho'!$F$5:$F$254,'2. XuatKho'!$C$5:$C$254,$A14)</f>
        <v>0</v>
      </c>
      <c r="H14" s="40">
        <f t="shared" si="0"/>
        <v>1</v>
      </c>
      <c r="I14" s="22">
        <f>IFERROR(INDEX('1. NhapKho'!$I$5:$I$351,MATCH($A14,'1. NhapKho'!$C$5:$C$351,0)),0)</f>
        <v>12000000</v>
      </c>
      <c r="J14" s="21">
        <f t="shared" si="1"/>
        <v>12000000</v>
      </c>
      <c r="K14" s="41" t="str">
        <f t="shared" si="2"/>
        <v/>
      </c>
    </row>
    <row r="15" spans="1:11" ht="26" customHeight="1" x14ac:dyDescent="0.2">
      <c r="A15" s="37" t="s">
        <v>459</v>
      </c>
      <c r="B15" s="38">
        <v>46193</v>
      </c>
      <c r="C15" s="13" t="s">
        <v>438</v>
      </c>
      <c r="D15" s="4" t="s">
        <v>176</v>
      </c>
      <c r="E15" s="14" t="s">
        <v>460</v>
      </c>
      <c r="F15" s="39">
        <f>IFERROR(INDEX('1. NhapKho'!$H$5:$H$351,MATCH($A15,'1. NhapKho'!$C$5:$C$351,0)),0)</f>
        <v>1</v>
      </c>
      <c r="G15" s="39">
        <f>SUMIFS('2. XuatKho'!$F$5:$F$254,'2. XuatKho'!$C$5:$C$254,$A15)</f>
        <v>0</v>
      </c>
      <c r="H15" s="40">
        <f t="shared" si="0"/>
        <v>1</v>
      </c>
      <c r="I15" s="22">
        <f>IFERROR(INDEX('1. NhapKho'!$I$5:$I$351,MATCH($A15,'1. NhapKho'!$C$5:$C$351,0)),0)</f>
        <v>12000000</v>
      </c>
      <c r="J15" s="21">
        <f t="shared" si="1"/>
        <v>12000000</v>
      </c>
      <c r="K15" s="41" t="str">
        <f t="shared" si="2"/>
        <v/>
      </c>
    </row>
    <row r="16" spans="1:11" ht="26" customHeight="1" x14ac:dyDescent="0.2">
      <c r="A16" s="37" t="s">
        <v>461</v>
      </c>
      <c r="B16" s="38">
        <v>46193</v>
      </c>
      <c r="C16" s="13" t="s">
        <v>438</v>
      </c>
      <c r="D16" s="4" t="s">
        <v>226</v>
      </c>
      <c r="E16" s="14" t="s">
        <v>462</v>
      </c>
      <c r="F16" s="39">
        <f>IFERROR(INDEX('1. NhapKho'!$H$5:$H$351,MATCH($A16,'1. NhapKho'!$C$5:$C$351,0)),0)</f>
        <v>1</v>
      </c>
      <c r="G16" s="39">
        <f>SUMIFS('2. XuatKho'!$F$5:$F$254,'2. XuatKho'!$C$5:$C$254,$A16)</f>
        <v>0</v>
      </c>
      <c r="H16" s="40">
        <f t="shared" si="0"/>
        <v>1</v>
      </c>
      <c r="I16" s="22">
        <f>IFERROR(INDEX('1. NhapKho'!$I$5:$I$351,MATCH($A16,'1. NhapKho'!$C$5:$C$351,0)),0)</f>
        <v>12000000</v>
      </c>
      <c r="J16" s="21">
        <f t="shared" si="1"/>
        <v>12000000</v>
      </c>
      <c r="K16" s="41" t="str">
        <f t="shared" si="2"/>
        <v/>
      </c>
    </row>
    <row r="17" spans="1:11" ht="26" customHeight="1" x14ac:dyDescent="0.2">
      <c r="A17" s="37" t="s">
        <v>463</v>
      </c>
      <c r="B17" s="38">
        <v>46193</v>
      </c>
      <c r="C17" s="13" t="s">
        <v>438</v>
      </c>
      <c r="D17" s="4" t="s">
        <v>222</v>
      </c>
      <c r="E17" s="14" t="s">
        <v>464</v>
      </c>
      <c r="F17" s="39">
        <f>IFERROR(INDEX('1. NhapKho'!$H$5:$H$351,MATCH($A17,'1. NhapKho'!$C$5:$C$351,0)),0)</f>
        <v>2</v>
      </c>
      <c r="G17" s="39">
        <f>SUMIFS('2. XuatKho'!$F$5:$F$254,'2. XuatKho'!$C$5:$C$254,$A17)</f>
        <v>0</v>
      </c>
      <c r="H17" s="40">
        <f t="shared" si="0"/>
        <v>2</v>
      </c>
      <c r="I17" s="22">
        <f>IFERROR(INDEX('1. NhapKho'!$I$5:$I$351,MATCH($A17,'1. NhapKho'!$C$5:$C$351,0)),0)</f>
        <v>6000000</v>
      </c>
      <c r="J17" s="21">
        <f t="shared" si="1"/>
        <v>12000000</v>
      </c>
      <c r="K17" s="41" t="str">
        <f t="shared" si="2"/>
        <v/>
      </c>
    </row>
    <row r="18" spans="1:11" ht="26" customHeight="1" x14ac:dyDescent="0.2">
      <c r="A18" s="37" t="s">
        <v>465</v>
      </c>
      <c r="B18" s="38">
        <v>46193</v>
      </c>
      <c r="C18" s="13" t="s">
        <v>438</v>
      </c>
      <c r="D18" s="4" t="s">
        <v>173</v>
      </c>
      <c r="E18" s="14" t="s">
        <v>466</v>
      </c>
      <c r="F18" s="39">
        <f>IFERROR(INDEX('1. NhapKho'!$H$5:$H$351,MATCH($A18,'1. NhapKho'!$C$5:$C$351,0)),0)</f>
        <v>2</v>
      </c>
      <c r="G18" s="39">
        <f>SUMIFS('2. XuatKho'!$F$5:$F$254,'2. XuatKho'!$C$5:$C$254,$A18)</f>
        <v>0</v>
      </c>
      <c r="H18" s="40">
        <f t="shared" si="0"/>
        <v>2</v>
      </c>
      <c r="I18" s="22">
        <f>IFERROR(INDEX('1. NhapKho'!$I$5:$I$351,MATCH($A18,'1. NhapKho'!$C$5:$C$351,0)),0)</f>
        <v>6000000</v>
      </c>
      <c r="J18" s="21">
        <f t="shared" si="1"/>
        <v>12000000</v>
      </c>
      <c r="K18" s="41" t="str">
        <f t="shared" si="2"/>
        <v/>
      </c>
    </row>
    <row r="19" spans="1:11" ht="26" customHeight="1" x14ac:dyDescent="0.2">
      <c r="A19" s="37" t="s">
        <v>467</v>
      </c>
      <c r="B19" s="38">
        <v>46193</v>
      </c>
      <c r="C19" s="13" t="s">
        <v>438</v>
      </c>
      <c r="D19" s="4" t="s">
        <v>136</v>
      </c>
      <c r="E19" s="14" t="s">
        <v>468</v>
      </c>
      <c r="F19" s="39">
        <f>IFERROR(INDEX('1. NhapKho'!$H$5:$H$351,MATCH($A19,'1. NhapKho'!$C$5:$C$351,0)),0)</f>
        <v>8</v>
      </c>
      <c r="G19" s="39">
        <f>SUMIFS('2. XuatKho'!$F$5:$F$254,'2. XuatKho'!$C$5:$C$254,$A19)</f>
        <v>0</v>
      </c>
      <c r="H19" s="40">
        <f t="shared" si="0"/>
        <v>8</v>
      </c>
      <c r="I19" s="22">
        <f>IFERROR(INDEX('1. NhapKho'!$I$5:$I$351,MATCH($A19,'1. NhapKho'!$C$5:$C$351,0)),0)</f>
        <v>11000000</v>
      </c>
      <c r="J19" s="21">
        <f t="shared" si="1"/>
        <v>88000000</v>
      </c>
      <c r="K19" s="41" t="str">
        <f t="shared" si="2"/>
        <v/>
      </c>
    </row>
    <row r="20" spans="1:11" ht="26" customHeight="1" x14ac:dyDescent="0.2">
      <c r="A20" s="37" t="s">
        <v>469</v>
      </c>
      <c r="B20" s="38">
        <v>46193</v>
      </c>
      <c r="C20" s="13" t="s">
        <v>438</v>
      </c>
      <c r="D20" s="4" t="s">
        <v>161</v>
      </c>
      <c r="E20" s="14" t="s">
        <v>470</v>
      </c>
      <c r="F20" s="39">
        <f>IFERROR(INDEX('1. NhapKho'!$H$5:$H$351,MATCH($A20,'1. NhapKho'!$C$5:$C$351,0)),0)</f>
        <v>2</v>
      </c>
      <c r="G20" s="39">
        <f>SUMIFS('2. XuatKho'!$F$5:$F$254,'2. XuatKho'!$C$5:$C$254,$A20)</f>
        <v>0</v>
      </c>
      <c r="H20" s="40">
        <f t="shared" si="0"/>
        <v>2</v>
      </c>
      <c r="I20" s="22">
        <f>IFERROR(INDEX('1. NhapKho'!$I$5:$I$351,MATCH($A20,'1. NhapKho'!$C$5:$C$351,0)),0)</f>
        <v>9500000</v>
      </c>
      <c r="J20" s="21">
        <f t="shared" si="1"/>
        <v>19000000</v>
      </c>
      <c r="K20" s="41" t="str">
        <f t="shared" si="2"/>
        <v/>
      </c>
    </row>
    <row r="21" spans="1:11" ht="39" customHeight="1" x14ac:dyDescent="0.2">
      <c r="A21" s="37" t="s">
        <v>471</v>
      </c>
      <c r="B21" s="38">
        <v>46193</v>
      </c>
      <c r="C21" s="13" t="s">
        <v>438</v>
      </c>
      <c r="D21" s="4" t="s">
        <v>242</v>
      </c>
      <c r="E21" s="14" t="s">
        <v>472</v>
      </c>
      <c r="F21" s="39">
        <f>IFERROR(INDEX('1. NhapKho'!$H$5:$H$351,MATCH($A21,'1. NhapKho'!$C$5:$C$351,0)),0)</f>
        <v>1</v>
      </c>
      <c r="G21" s="39">
        <f>SUMIFS('2. XuatKho'!$F$5:$F$254,'2. XuatKho'!$C$5:$C$254,$A21)</f>
        <v>0</v>
      </c>
      <c r="H21" s="40">
        <f t="shared" si="0"/>
        <v>1</v>
      </c>
      <c r="I21" s="22">
        <f>IFERROR(INDEX('1. NhapKho'!$I$5:$I$351,MATCH($A21,'1. NhapKho'!$C$5:$C$351,0)),0)</f>
        <v>8500000</v>
      </c>
      <c r="J21" s="21">
        <f t="shared" si="1"/>
        <v>8500000</v>
      </c>
      <c r="K21" s="41" t="str">
        <f t="shared" si="2"/>
        <v/>
      </c>
    </row>
    <row r="22" spans="1:11" ht="39" customHeight="1" x14ac:dyDescent="0.2">
      <c r="A22" s="37" t="s">
        <v>473</v>
      </c>
      <c r="B22" s="38">
        <v>46193</v>
      </c>
      <c r="C22" s="13" t="s">
        <v>438</v>
      </c>
      <c r="D22" s="4" t="s">
        <v>240</v>
      </c>
      <c r="E22" s="14" t="s">
        <v>474</v>
      </c>
      <c r="F22" s="39">
        <f>IFERROR(INDEX('1. NhapKho'!$H$5:$H$351,MATCH($A22,'1. NhapKho'!$C$5:$C$351,0)),0)</f>
        <v>1</v>
      </c>
      <c r="G22" s="39">
        <f>SUMIFS('2. XuatKho'!$F$5:$F$254,'2. XuatKho'!$C$5:$C$254,$A22)</f>
        <v>0</v>
      </c>
      <c r="H22" s="40">
        <f t="shared" si="0"/>
        <v>1</v>
      </c>
      <c r="I22" s="22">
        <f>IFERROR(INDEX('1. NhapKho'!$I$5:$I$351,MATCH($A22,'1. NhapKho'!$C$5:$C$351,0)),0)</f>
        <v>7000000</v>
      </c>
      <c r="J22" s="21">
        <f t="shared" si="1"/>
        <v>7000000</v>
      </c>
      <c r="K22" s="41" t="str">
        <f t="shared" si="2"/>
        <v/>
      </c>
    </row>
    <row r="23" spans="1:11" ht="26" customHeight="1" x14ac:dyDescent="0.2">
      <c r="A23" s="37" t="s">
        <v>475</v>
      </c>
      <c r="B23" s="38">
        <v>46193</v>
      </c>
      <c r="C23" s="13" t="s">
        <v>438</v>
      </c>
      <c r="D23" s="4" t="s">
        <v>129</v>
      </c>
      <c r="E23" s="14" t="s">
        <v>476</v>
      </c>
      <c r="F23" s="39">
        <f>IFERROR(INDEX('1. NhapKho'!$H$5:$H$351,MATCH($A23,'1. NhapKho'!$C$5:$C$351,0)),0)</f>
        <v>6</v>
      </c>
      <c r="G23" s="39">
        <f>SUMIFS('2. XuatKho'!$F$5:$F$254,'2. XuatKho'!$C$5:$C$254,$A23)</f>
        <v>0</v>
      </c>
      <c r="H23" s="40">
        <f t="shared" si="0"/>
        <v>6</v>
      </c>
      <c r="I23" s="22">
        <f>IFERROR(INDEX('1. NhapKho'!$I$5:$I$351,MATCH($A23,'1. NhapKho'!$C$5:$C$351,0)),0)</f>
        <v>9800000</v>
      </c>
      <c r="J23" s="21">
        <f t="shared" si="1"/>
        <v>58800000</v>
      </c>
      <c r="K23" s="41" t="str">
        <f t="shared" si="2"/>
        <v/>
      </c>
    </row>
    <row r="24" spans="1:11" ht="26" customHeight="1" x14ac:dyDescent="0.2">
      <c r="A24" s="37" t="s">
        <v>478</v>
      </c>
      <c r="B24" s="38">
        <v>46196</v>
      </c>
      <c r="C24" s="13" t="s">
        <v>477</v>
      </c>
      <c r="D24" s="4" t="s">
        <v>95</v>
      </c>
      <c r="E24" s="14" t="s">
        <v>479</v>
      </c>
      <c r="F24" s="39">
        <f>IFERROR(INDEX('1. NhapKho'!$H$5:$H$351,MATCH($A24,'1. NhapKho'!$C$5:$C$351,0)),0)</f>
        <v>1</v>
      </c>
      <c r="G24" s="39">
        <f>SUMIFS('2. XuatKho'!$F$5:$F$254,'2. XuatKho'!$C$5:$C$254,$A24)</f>
        <v>0</v>
      </c>
      <c r="H24" s="40">
        <f t="shared" si="0"/>
        <v>1</v>
      </c>
      <c r="I24" s="22">
        <f>IFERROR(INDEX('1. NhapKho'!$I$5:$I$351,MATCH($A24,'1. NhapKho'!$C$5:$C$351,0)),0)</f>
        <v>6000000</v>
      </c>
      <c r="J24" s="21">
        <f t="shared" si="1"/>
        <v>6000000</v>
      </c>
      <c r="K24" s="41" t="str">
        <f t="shared" si="2"/>
        <v/>
      </c>
    </row>
    <row r="25" spans="1:11" ht="26" customHeight="1" x14ac:dyDescent="0.2">
      <c r="A25" s="37" t="s">
        <v>480</v>
      </c>
      <c r="B25" s="38">
        <v>46196</v>
      </c>
      <c r="C25" s="13" t="s">
        <v>477</v>
      </c>
      <c r="D25" s="4" t="s">
        <v>173</v>
      </c>
      <c r="E25" s="14" t="s">
        <v>466</v>
      </c>
      <c r="F25" s="39">
        <f>IFERROR(INDEX('1. NhapKho'!$H$5:$H$351,MATCH($A25,'1. NhapKho'!$C$5:$C$351,0)),0)</f>
        <v>1</v>
      </c>
      <c r="G25" s="39">
        <f>SUMIFS('2. XuatKho'!$F$5:$F$254,'2. XuatKho'!$C$5:$C$254,$A25)</f>
        <v>0</v>
      </c>
      <c r="H25" s="40">
        <f t="shared" si="0"/>
        <v>1</v>
      </c>
      <c r="I25" s="22">
        <f>IFERROR(INDEX('1. NhapKho'!$I$5:$I$351,MATCH($A25,'1. NhapKho'!$C$5:$C$351,0)),0)</f>
        <v>6000000</v>
      </c>
      <c r="J25" s="21">
        <f t="shared" si="1"/>
        <v>6000000</v>
      </c>
      <c r="K25" s="41" t="str">
        <f t="shared" si="2"/>
        <v/>
      </c>
    </row>
    <row r="26" spans="1:11" ht="26" customHeight="1" x14ac:dyDescent="0.2">
      <c r="A26" s="37" t="s">
        <v>481</v>
      </c>
      <c r="B26" s="38">
        <v>46196</v>
      </c>
      <c r="C26" s="13" t="s">
        <v>477</v>
      </c>
      <c r="D26" s="4" t="s">
        <v>189</v>
      </c>
      <c r="E26" s="14" t="s">
        <v>482</v>
      </c>
      <c r="F26" s="39">
        <f>IFERROR(INDEX('1. NhapKho'!$H$5:$H$351,MATCH($A26,'1. NhapKho'!$C$5:$C$351,0)),0)</f>
        <v>1</v>
      </c>
      <c r="G26" s="39">
        <f>SUMIFS('2. XuatKho'!$F$5:$F$254,'2. XuatKho'!$C$5:$C$254,$A26)</f>
        <v>0</v>
      </c>
      <c r="H26" s="40">
        <f t="shared" si="0"/>
        <v>1</v>
      </c>
      <c r="I26" s="22">
        <f>IFERROR(INDEX('1. NhapKho'!$I$5:$I$351,MATCH($A26,'1. NhapKho'!$C$5:$C$351,0)),0)</f>
        <v>8500000</v>
      </c>
      <c r="J26" s="21">
        <f t="shared" si="1"/>
        <v>8500000</v>
      </c>
      <c r="K26" s="41" t="str">
        <f t="shared" si="2"/>
        <v/>
      </c>
    </row>
    <row r="27" spans="1:11" ht="26" customHeight="1" x14ac:dyDescent="0.2">
      <c r="A27" s="37" t="s">
        <v>483</v>
      </c>
      <c r="B27" s="38">
        <v>46196</v>
      </c>
      <c r="C27" s="13" t="s">
        <v>477</v>
      </c>
      <c r="D27" s="4" t="s">
        <v>222</v>
      </c>
      <c r="E27" s="14" t="s">
        <v>464</v>
      </c>
      <c r="F27" s="39">
        <f>IFERROR(INDEX('1. NhapKho'!$H$5:$H$351,MATCH($A27,'1. NhapKho'!$C$5:$C$351,0)),0)</f>
        <v>1</v>
      </c>
      <c r="G27" s="39">
        <f>SUMIFS('2. XuatKho'!$F$5:$F$254,'2. XuatKho'!$C$5:$C$254,$A27)</f>
        <v>0</v>
      </c>
      <c r="H27" s="40">
        <f t="shared" si="0"/>
        <v>1</v>
      </c>
      <c r="I27" s="22">
        <f>IFERROR(INDEX('1. NhapKho'!$I$5:$I$351,MATCH($A27,'1. NhapKho'!$C$5:$C$351,0)),0)</f>
        <v>6000000</v>
      </c>
      <c r="J27" s="21">
        <f t="shared" si="1"/>
        <v>6000000</v>
      </c>
      <c r="K27" s="41" t="str">
        <f t="shared" si="2"/>
        <v/>
      </c>
    </row>
    <row r="28" spans="1:11" ht="26" customHeight="1" x14ac:dyDescent="0.2">
      <c r="A28" s="37" t="s">
        <v>484</v>
      </c>
      <c r="B28" s="38">
        <v>46196</v>
      </c>
      <c r="C28" s="13" t="s">
        <v>477</v>
      </c>
      <c r="D28" s="4" t="s">
        <v>91</v>
      </c>
      <c r="E28" s="14" t="s">
        <v>485</v>
      </c>
      <c r="F28" s="39">
        <f>IFERROR(INDEX('1. NhapKho'!$H$5:$H$351,MATCH($A28,'1. NhapKho'!$C$5:$C$351,0)),0)</f>
        <v>1</v>
      </c>
      <c r="G28" s="39">
        <f>SUMIFS('2. XuatKho'!$F$5:$F$254,'2. XuatKho'!$C$5:$C$254,$A28)</f>
        <v>0</v>
      </c>
      <c r="H28" s="40">
        <f t="shared" si="0"/>
        <v>1</v>
      </c>
      <c r="I28" s="22">
        <f>IFERROR(INDEX('1. NhapKho'!$I$5:$I$351,MATCH($A28,'1. NhapKho'!$C$5:$C$351,0)),0)</f>
        <v>3400000</v>
      </c>
      <c r="J28" s="21">
        <f t="shared" si="1"/>
        <v>3400000</v>
      </c>
      <c r="K28" s="41" t="str">
        <f t="shared" si="2"/>
        <v/>
      </c>
    </row>
    <row r="29" spans="1:11" ht="26" customHeight="1" x14ac:dyDescent="0.2">
      <c r="A29" s="37" t="s">
        <v>486</v>
      </c>
      <c r="B29" s="38">
        <v>46196</v>
      </c>
      <c r="C29" s="13" t="s">
        <v>477</v>
      </c>
      <c r="D29" s="4" t="s">
        <v>171</v>
      </c>
      <c r="E29" s="14" t="s">
        <v>487</v>
      </c>
      <c r="F29" s="39">
        <f>IFERROR(INDEX('1. NhapKho'!$H$5:$H$351,MATCH($A29,'1. NhapKho'!$C$5:$C$351,0)),0)</f>
        <v>1</v>
      </c>
      <c r="G29" s="39">
        <f>SUMIFS('2. XuatKho'!$F$5:$F$254,'2. XuatKho'!$C$5:$C$254,$A29)</f>
        <v>0</v>
      </c>
      <c r="H29" s="40">
        <f t="shared" si="0"/>
        <v>1</v>
      </c>
      <c r="I29" s="22">
        <f>IFERROR(INDEX('1. NhapKho'!$I$5:$I$351,MATCH($A29,'1. NhapKho'!$C$5:$C$351,0)),0)</f>
        <v>3400000</v>
      </c>
      <c r="J29" s="21">
        <f t="shared" si="1"/>
        <v>3400000</v>
      </c>
      <c r="K29" s="41" t="str">
        <f t="shared" si="2"/>
        <v/>
      </c>
    </row>
    <row r="30" spans="1:11" ht="26" customHeight="1" x14ac:dyDescent="0.2">
      <c r="A30" s="37" t="s">
        <v>488</v>
      </c>
      <c r="B30" s="38">
        <v>46196</v>
      </c>
      <c r="C30" s="13" t="s">
        <v>477</v>
      </c>
      <c r="D30" s="4" t="s">
        <v>185</v>
      </c>
      <c r="E30" s="14" t="s">
        <v>489</v>
      </c>
      <c r="F30" s="39">
        <f>IFERROR(INDEX('1. NhapKho'!$H$5:$H$351,MATCH($A30,'1. NhapKho'!$C$5:$C$351,0)),0)</f>
        <v>4</v>
      </c>
      <c r="G30" s="39">
        <f>SUMIFS('2. XuatKho'!$F$5:$F$254,'2. XuatKho'!$C$5:$C$254,$A30)</f>
        <v>0</v>
      </c>
      <c r="H30" s="40">
        <f t="shared" si="0"/>
        <v>4</v>
      </c>
      <c r="I30" s="22">
        <f>IFERROR(INDEX('1. NhapKho'!$I$5:$I$351,MATCH($A30,'1. NhapKho'!$C$5:$C$351,0)),0)</f>
        <v>3400000</v>
      </c>
      <c r="J30" s="21">
        <f t="shared" si="1"/>
        <v>13600000</v>
      </c>
      <c r="K30" s="41" t="str">
        <f t="shared" si="2"/>
        <v/>
      </c>
    </row>
    <row r="31" spans="1:11" ht="26" customHeight="1" x14ac:dyDescent="0.2">
      <c r="A31" s="37" t="s">
        <v>490</v>
      </c>
      <c r="B31" s="38">
        <v>46196</v>
      </c>
      <c r="C31" s="13" t="s">
        <v>477</v>
      </c>
      <c r="D31" s="4" t="s">
        <v>221</v>
      </c>
      <c r="E31" s="14" t="s">
        <v>491</v>
      </c>
      <c r="F31" s="39">
        <f>IFERROR(INDEX('1. NhapKho'!$H$5:$H$351,MATCH($A31,'1. NhapKho'!$C$5:$C$351,0)),0)</f>
        <v>1</v>
      </c>
      <c r="G31" s="39">
        <f>SUMIFS('2. XuatKho'!$F$5:$F$254,'2. XuatKho'!$C$5:$C$254,$A31)</f>
        <v>0</v>
      </c>
      <c r="H31" s="40">
        <f t="shared" si="0"/>
        <v>1</v>
      </c>
      <c r="I31" s="22">
        <f>IFERROR(INDEX('1. NhapKho'!$I$5:$I$351,MATCH($A31,'1. NhapKho'!$C$5:$C$351,0)),0)</f>
        <v>3400000</v>
      </c>
      <c r="J31" s="21">
        <f t="shared" si="1"/>
        <v>3400000</v>
      </c>
      <c r="K31" s="41" t="str">
        <f t="shared" si="2"/>
        <v/>
      </c>
    </row>
    <row r="32" spans="1:11" ht="26" customHeight="1" x14ac:dyDescent="0.2">
      <c r="A32" s="37" t="s">
        <v>492</v>
      </c>
      <c r="B32" s="38">
        <v>46196</v>
      </c>
      <c r="C32" s="13" t="s">
        <v>477</v>
      </c>
      <c r="D32" s="4" t="s">
        <v>198</v>
      </c>
      <c r="E32" s="14" t="s">
        <v>493</v>
      </c>
      <c r="F32" s="39">
        <f>IFERROR(INDEX('1. NhapKho'!$H$5:$H$351,MATCH($A32,'1. NhapKho'!$C$5:$C$351,0)),0)</f>
        <v>3</v>
      </c>
      <c r="G32" s="39">
        <f>SUMIFS('2. XuatKho'!$F$5:$F$254,'2. XuatKho'!$C$5:$C$254,$A32)</f>
        <v>0</v>
      </c>
      <c r="H32" s="40">
        <f t="shared" si="0"/>
        <v>3</v>
      </c>
      <c r="I32" s="22">
        <f>IFERROR(INDEX('1. NhapKho'!$I$5:$I$351,MATCH($A32,'1. NhapKho'!$C$5:$C$351,0)),0)</f>
        <v>3200000</v>
      </c>
      <c r="J32" s="21">
        <f t="shared" si="1"/>
        <v>9600000</v>
      </c>
      <c r="K32" s="41" t="str">
        <f t="shared" si="2"/>
        <v/>
      </c>
    </row>
    <row r="33" spans="1:11" ht="26" customHeight="1" x14ac:dyDescent="0.2">
      <c r="A33" s="37" t="s">
        <v>494</v>
      </c>
      <c r="B33" s="38">
        <v>46196</v>
      </c>
      <c r="C33" s="13" t="s">
        <v>477</v>
      </c>
      <c r="D33" s="4" t="s">
        <v>110</v>
      </c>
      <c r="E33" s="14" t="s">
        <v>495</v>
      </c>
      <c r="F33" s="39">
        <f>IFERROR(INDEX('1. NhapKho'!$H$5:$H$351,MATCH($A33,'1. NhapKho'!$C$5:$C$351,0)),0)</f>
        <v>1</v>
      </c>
      <c r="G33" s="39">
        <f>SUMIFS('2. XuatKho'!$F$5:$F$254,'2. XuatKho'!$C$5:$C$254,$A33)</f>
        <v>0</v>
      </c>
      <c r="H33" s="40">
        <f t="shared" si="0"/>
        <v>1</v>
      </c>
      <c r="I33" s="22">
        <f>IFERROR(INDEX('1. NhapKho'!$I$5:$I$351,MATCH($A33,'1. NhapKho'!$C$5:$C$351,0)),0)</f>
        <v>3400000</v>
      </c>
      <c r="J33" s="21">
        <f t="shared" si="1"/>
        <v>3400000</v>
      </c>
      <c r="K33" s="41" t="str">
        <f t="shared" si="2"/>
        <v/>
      </c>
    </row>
    <row r="34" spans="1:11" ht="39" customHeight="1" x14ac:dyDescent="0.2">
      <c r="A34" s="37" t="s">
        <v>496</v>
      </c>
      <c r="B34" s="38">
        <v>46196</v>
      </c>
      <c r="C34" s="13" t="s">
        <v>477</v>
      </c>
      <c r="D34" s="4" t="s">
        <v>238</v>
      </c>
      <c r="E34" s="14" t="s">
        <v>497</v>
      </c>
      <c r="F34" s="39">
        <f>IFERROR(INDEX('1. NhapKho'!$H$5:$H$351,MATCH($A34,'1. NhapKho'!$C$5:$C$351,0)),0)</f>
        <v>3</v>
      </c>
      <c r="G34" s="39">
        <f>SUMIFS('2. XuatKho'!$F$5:$F$254,'2. XuatKho'!$C$5:$C$254,$A34)</f>
        <v>0</v>
      </c>
      <c r="H34" s="40">
        <f t="shared" si="0"/>
        <v>3</v>
      </c>
      <c r="I34" s="22">
        <f>IFERROR(INDEX('1. NhapKho'!$I$5:$I$351,MATCH($A34,'1. NhapKho'!$C$5:$C$351,0)),0)</f>
        <v>4800000</v>
      </c>
      <c r="J34" s="21">
        <f t="shared" si="1"/>
        <v>14400000</v>
      </c>
      <c r="K34" s="41" t="str">
        <f t="shared" si="2"/>
        <v/>
      </c>
    </row>
    <row r="35" spans="1:11" ht="39" customHeight="1" x14ac:dyDescent="0.2">
      <c r="A35" s="37" t="s">
        <v>498</v>
      </c>
      <c r="B35" s="38">
        <v>46196</v>
      </c>
      <c r="C35" s="13" t="s">
        <v>477</v>
      </c>
      <c r="D35" s="4" t="s">
        <v>242</v>
      </c>
      <c r="E35" s="14" t="s">
        <v>499</v>
      </c>
      <c r="F35" s="39">
        <f>IFERROR(INDEX('1. NhapKho'!$H$5:$H$351,MATCH($A35,'1. NhapKho'!$C$5:$C$351,0)),0)</f>
        <v>3</v>
      </c>
      <c r="G35" s="39">
        <f>SUMIFS('2. XuatKho'!$F$5:$F$254,'2. XuatKho'!$C$5:$C$254,$A35)</f>
        <v>0</v>
      </c>
      <c r="H35" s="40">
        <f t="shared" si="0"/>
        <v>3</v>
      </c>
      <c r="I35" s="22">
        <f>IFERROR(INDEX('1. NhapKho'!$I$5:$I$351,MATCH($A35,'1. NhapKho'!$C$5:$C$351,0)),0)</f>
        <v>8500000</v>
      </c>
      <c r="J35" s="21">
        <f t="shared" si="1"/>
        <v>25500000</v>
      </c>
      <c r="K35" s="41" t="str">
        <f t="shared" si="2"/>
        <v/>
      </c>
    </row>
    <row r="36" spans="1:11" ht="39" customHeight="1" x14ac:dyDescent="0.2">
      <c r="A36" s="37" t="s">
        <v>500</v>
      </c>
      <c r="B36" s="38">
        <v>46196</v>
      </c>
      <c r="C36" s="13" t="s">
        <v>477</v>
      </c>
      <c r="D36" s="4" t="s">
        <v>242</v>
      </c>
      <c r="E36" s="14" t="s">
        <v>501</v>
      </c>
      <c r="F36" s="39">
        <f>IFERROR(INDEX('1. NhapKho'!$H$5:$H$351,MATCH($A36,'1. NhapKho'!$C$5:$C$351,0)),0)</f>
        <v>3</v>
      </c>
      <c r="G36" s="39">
        <f>SUMIFS('2. XuatKho'!$F$5:$F$254,'2. XuatKho'!$C$5:$C$254,$A36)</f>
        <v>0</v>
      </c>
      <c r="H36" s="40">
        <f t="shared" si="0"/>
        <v>3</v>
      </c>
      <c r="I36" s="22">
        <f>IFERROR(INDEX('1. NhapKho'!$I$5:$I$351,MATCH($A36,'1. NhapKho'!$C$5:$C$351,0)),0)</f>
        <v>8500000</v>
      </c>
      <c r="J36" s="21">
        <f t="shared" si="1"/>
        <v>25500000</v>
      </c>
      <c r="K36" s="41" t="str">
        <f t="shared" si="2"/>
        <v/>
      </c>
    </row>
    <row r="37" spans="1:11" ht="26" customHeight="1" x14ac:dyDescent="0.2">
      <c r="A37" s="37" t="s">
        <v>502</v>
      </c>
      <c r="B37" s="38">
        <v>46196</v>
      </c>
      <c r="C37" s="13" t="s">
        <v>477</v>
      </c>
      <c r="D37" s="4" t="s">
        <v>139</v>
      </c>
      <c r="E37" s="14" t="s">
        <v>503</v>
      </c>
      <c r="F37" s="39">
        <f>IFERROR(INDEX('1. NhapKho'!$H$5:$H$351,MATCH($A37,'1. NhapKho'!$C$5:$C$351,0)),0)</f>
        <v>2</v>
      </c>
      <c r="G37" s="39">
        <f>SUMIFS('2. XuatKho'!$F$5:$F$254,'2. XuatKho'!$C$5:$C$254,$A37)</f>
        <v>0</v>
      </c>
      <c r="H37" s="40">
        <f t="shared" si="0"/>
        <v>2</v>
      </c>
      <c r="I37" s="22">
        <f>IFERROR(INDEX('1. NhapKho'!$I$5:$I$351,MATCH($A37,'1. NhapKho'!$C$5:$C$351,0)),0)</f>
        <v>12100000</v>
      </c>
      <c r="J37" s="21">
        <f t="shared" si="1"/>
        <v>24200000</v>
      </c>
      <c r="K37" s="41" t="str">
        <f t="shared" si="2"/>
        <v/>
      </c>
    </row>
    <row r="38" spans="1:11" ht="26" customHeight="1" x14ac:dyDescent="0.2">
      <c r="A38" s="37" t="s">
        <v>504</v>
      </c>
      <c r="B38" s="38">
        <v>46196</v>
      </c>
      <c r="C38" s="13" t="s">
        <v>477</v>
      </c>
      <c r="D38" s="4" t="s">
        <v>139</v>
      </c>
      <c r="E38" s="14" t="s">
        <v>503</v>
      </c>
      <c r="F38" s="39">
        <f>IFERROR(INDEX('1. NhapKho'!$H$5:$H$351,MATCH($A38,'1. NhapKho'!$C$5:$C$351,0)),0)</f>
        <v>2</v>
      </c>
      <c r="G38" s="39">
        <f>SUMIFS('2. XuatKho'!$F$5:$F$254,'2. XuatKho'!$C$5:$C$254,$A38)</f>
        <v>0</v>
      </c>
      <c r="H38" s="40">
        <f t="shared" si="0"/>
        <v>2</v>
      </c>
      <c r="I38" s="22">
        <f>IFERROR(INDEX('1. NhapKho'!$I$5:$I$351,MATCH($A38,'1. NhapKho'!$C$5:$C$351,0)),0)</f>
        <v>12100000</v>
      </c>
      <c r="J38" s="21">
        <f t="shared" si="1"/>
        <v>24200000</v>
      </c>
      <c r="K38" s="41" t="str">
        <f t="shared" si="2"/>
        <v/>
      </c>
    </row>
    <row r="39" spans="1:11" ht="26" customHeight="1" x14ac:dyDescent="0.2">
      <c r="A39" s="37" t="s">
        <v>505</v>
      </c>
      <c r="B39" s="38">
        <v>46196</v>
      </c>
      <c r="C39" s="13" t="s">
        <v>477</v>
      </c>
      <c r="D39" s="4" t="s">
        <v>163</v>
      </c>
      <c r="E39" s="14" t="s">
        <v>506</v>
      </c>
      <c r="F39" s="39">
        <f>IFERROR(INDEX('1. NhapKho'!$H$5:$H$351,MATCH($A39,'1. NhapKho'!$C$5:$C$351,0)),0)</f>
        <v>2</v>
      </c>
      <c r="G39" s="39">
        <f>SUMIFS('2. XuatKho'!$F$5:$F$254,'2. XuatKho'!$C$5:$C$254,$A39)</f>
        <v>0</v>
      </c>
      <c r="H39" s="40">
        <f t="shared" si="0"/>
        <v>2</v>
      </c>
      <c r="I39" s="22">
        <f>IFERROR(INDEX('1. NhapKho'!$I$5:$I$351,MATCH($A39,'1. NhapKho'!$C$5:$C$351,0)),0)</f>
        <v>10200000</v>
      </c>
      <c r="J39" s="21">
        <f t="shared" si="1"/>
        <v>20400000</v>
      </c>
      <c r="K39" s="41" t="str">
        <f t="shared" si="2"/>
        <v/>
      </c>
    </row>
    <row r="40" spans="1:11" ht="26" customHeight="1" x14ac:dyDescent="0.2">
      <c r="A40" s="37" t="s">
        <v>507</v>
      </c>
      <c r="B40" s="38">
        <v>46196</v>
      </c>
      <c r="C40" s="13" t="s">
        <v>477</v>
      </c>
      <c r="D40" s="4" t="s">
        <v>163</v>
      </c>
      <c r="E40" s="14" t="s">
        <v>506</v>
      </c>
      <c r="F40" s="39">
        <f>IFERROR(INDEX('1. NhapKho'!$H$5:$H$351,MATCH($A40,'1. NhapKho'!$C$5:$C$351,0)),0)</f>
        <v>2</v>
      </c>
      <c r="G40" s="39">
        <f>SUMIFS('2. XuatKho'!$F$5:$F$254,'2. XuatKho'!$C$5:$C$254,$A40)</f>
        <v>0</v>
      </c>
      <c r="H40" s="40">
        <f t="shared" si="0"/>
        <v>2</v>
      </c>
      <c r="I40" s="22">
        <f>IFERROR(INDEX('1. NhapKho'!$I$5:$I$351,MATCH($A40,'1. NhapKho'!$C$5:$C$351,0)),0)</f>
        <v>10200000</v>
      </c>
      <c r="J40" s="21">
        <f t="shared" si="1"/>
        <v>20400000</v>
      </c>
      <c r="K40" s="41" t="str">
        <f t="shared" si="2"/>
        <v/>
      </c>
    </row>
    <row r="41" spans="1:11" ht="26" customHeight="1" x14ac:dyDescent="0.2">
      <c r="A41" s="37" t="s">
        <v>508</v>
      </c>
      <c r="B41" s="38">
        <v>46196</v>
      </c>
      <c r="C41" s="13" t="s">
        <v>477</v>
      </c>
      <c r="D41" s="4" t="s">
        <v>134</v>
      </c>
      <c r="E41" s="14" t="s">
        <v>509</v>
      </c>
      <c r="F41" s="39">
        <f>IFERROR(INDEX('1. NhapKho'!$H$5:$H$351,MATCH($A41,'1. NhapKho'!$C$5:$C$351,0)),0)</f>
        <v>1</v>
      </c>
      <c r="G41" s="39">
        <f>SUMIFS('2. XuatKho'!$F$5:$F$254,'2. XuatKho'!$C$5:$C$254,$A41)</f>
        <v>0</v>
      </c>
      <c r="H41" s="40">
        <f t="shared" si="0"/>
        <v>1</v>
      </c>
      <c r="I41" s="22">
        <f>IFERROR(INDEX('1. NhapKho'!$I$5:$I$351,MATCH($A41,'1. NhapKho'!$C$5:$C$351,0)),0)</f>
        <v>22200000</v>
      </c>
      <c r="J41" s="21">
        <f t="shared" si="1"/>
        <v>22200000</v>
      </c>
      <c r="K41" s="41" t="str">
        <f t="shared" si="2"/>
        <v/>
      </c>
    </row>
    <row r="42" spans="1:11" ht="39" customHeight="1" x14ac:dyDescent="0.2">
      <c r="A42" s="37" t="s">
        <v>510</v>
      </c>
      <c r="B42" s="38">
        <v>46196</v>
      </c>
      <c r="C42" s="13" t="s">
        <v>477</v>
      </c>
      <c r="D42" s="4" t="s">
        <v>240</v>
      </c>
      <c r="E42" s="14" t="s">
        <v>511</v>
      </c>
      <c r="F42" s="39">
        <f>IFERROR(INDEX('1. NhapKho'!$H$5:$H$351,MATCH($A42,'1. NhapKho'!$C$5:$C$351,0)),0)</f>
        <v>3</v>
      </c>
      <c r="G42" s="39">
        <f>SUMIFS('2. XuatKho'!$F$5:$F$254,'2. XuatKho'!$C$5:$C$254,$A42)</f>
        <v>0</v>
      </c>
      <c r="H42" s="40">
        <f t="shared" si="0"/>
        <v>3</v>
      </c>
      <c r="I42" s="22">
        <f>IFERROR(INDEX('1. NhapKho'!$I$5:$I$351,MATCH($A42,'1. NhapKho'!$C$5:$C$351,0)),0)</f>
        <v>7000000</v>
      </c>
      <c r="J42" s="21">
        <f t="shared" si="1"/>
        <v>21000000</v>
      </c>
      <c r="K42" s="41" t="str">
        <f t="shared" si="2"/>
        <v/>
      </c>
    </row>
    <row r="43" spans="1:11" ht="39" customHeight="1" x14ac:dyDescent="0.2">
      <c r="A43" s="37" t="s">
        <v>512</v>
      </c>
      <c r="B43" s="38">
        <v>46196</v>
      </c>
      <c r="C43" s="13" t="s">
        <v>477</v>
      </c>
      <c r="D43" s="4" t="s">
        <v>240</v>
      </c>
      <c r="E43" s="14" t="s">
        <v>513</v>
      </c>
      <c r="F43" s="39">
        <f>IFERROR(INDEX('1. NhapKho'!$H$5:$H$351,MATCH($A43,'1. NhapKho'!$C$5:$C$351,0)),0)</f>
        <v>11</v>
      </c>
      <c r="G43" s="39">
        <f>SUMIFS('2. XuatKho'!$F$5:$F$254,'2. XuatKho'!$C$5:$C$254,$A43)</f>
        <v>0</v>
      </c>
      <c r="H43" s="40">
        <f t="shared" si="0"/>
        <v>11</v>
      </c>
      <c r="I43" s="22">
        <f>IFERROR(INDEX('1. NhapKho'!$I$5:$I$351,MATCH($A43,'1. NhapKho'!$C$5:$C$351,0)),0)</f>
        <v>7000000</v>
      </c>
      <c r="J43" s="21">
        <f t="shared" si="1"/>
        <v>77000000</v>
      </c>
      <c r="K43" s="41" t="str">
        <f t="shared" si="2"/>
        <v/>
      </c>
    </row>
    <row r="44" spans="1:11" ht="26" customHeight="1" x14ac:dyDescent="0.2">
      <c r="A44" s="37" t="s">
        <v>514</v>
      </c>
      <c r="B44" s="38">
        <v>46196</v>
      </c>
      <c r="C44" s="13" t="s">
        <v>477</v>
      </c>
      <c r="D44" s="4" t="s">
        <v>163</v>
      </c>
      <c r="E44" s="14" t="s">
        <v>506</v>
      </c>
      <c r="F44" s="39">
        <f>IFERROR(INDEX('1. NhapKho'!$H$5:$H$351,MATCH($A44,'1. NhapKho'!$C$5:$C$351,0)),0)</f>
        <v>1</v>
      </c>
      <c r="G44" s="39">
        <f>SUMIFS('2. XuatKho'!$F$5:$F$254,'2. XuatKho'!$C$5:$C$254,$A44)</f>
        <v>0</v>
      </c>
      <c r="H44" s="40">
        <f t="shared" si="0"/>
        <v>1</v>
      </c>
      <c r="I44" s="22">
        <f>IFERROR(INDEX('1. NhapKho'!$I$5:$I$351,MATCH($A44,'1. NhapKho'!$C$5:$C$351,0)),0)</f>
        <v>10200000</v>
      </c>
      <c r="J44" s="21">
        <f t="shared" si="1"/>
        <v>10200000</v>
      </c>
      <c r="K44" s="41" t="str">
        <f t="shared" si="2"/>
        <v/>
      </c>
    </row>
    <row r="45" spans="1:11" ht="39" customHeight="1" x14ac:dyDescent="0.2">
      <c r="A45" s="37" t="s">
        <v>515</v>
      </c>
      <c r="B45" s="38">
        <v>46196</v>
      </c>
      <c r="C45" s="13" t="s">
        <v>477</v>
      </c>
      <c r="D45" s="4" t="s">
        <v>240</v>
      </c>
      <c r="E45" s="14" t="s">
        <v>516</v>
      </c>
      <c r="F45" s="39">
        <f>IFERROR(INDEX('1. NhapKho'!$H$5:$H$351,MATCH($A45,'1. NhapKho'!$C$5:$C$351,0)),0)</f>
        <v>1</v>
      </c>
      <c r="G45" s="39">
        <f>SUMIFS('2. XuatKho'!$F$5:$F$254,'2. XuatKho'!$C$5:$C$254,$A45)</f>
        <v>0</v>
      </c>
      <c r="H45" s="40">
        <f t="shared" si="0"/>
        <v>1</v>
      </c>
      <c r="I45" s="22">
        <f>IFERROR(INDEX('1. NhapKho'!$I$5:$I$351,MATCH($A45,'1. NhapKho'!$C$5:$C$351,0)),0)</f>
        <v>7000000</v>
      </c>
      <c r="J45" s="21">
        <f t="shared" si="1"/>
        <v>7000000</v>
      </c>
      <c r="K45" s="41" t="str">
        <f t="shared" si="2"/>
        <v/>
      </c>
    </row>
    <row r="46" spans="1:11" ht="26" customHeight="1" x14ac:dyDescent="0.2">
      <c r="A46" s="37" t="s">
        <v>517</v>
      </c>
      <c r="B46" s="38">
        <v>46196</v>
      </c>
      <c r="C46" s="13" t="s">
        <v>477</v>
      </c>
      <c r="D46" s="4" t="s">
        <v>132</v>
      </c>
      <c r="E46" s="14" t="s">
        <v>518</v>
      </c>
      <c r="F46" s="39">
        <f>IFERROR(INDEX('1. NhapKho'!$H$5:$H$351,MATCH($A46,'1. NhapKho'!$C$5:$C$351,0)),0)</f>
        <v>1</v>
      </c>
      <c r="G46" s="39">
        <f>SUMIFS('2. XuatKho'!$F$5:$F$254,'2. XuatKho'!$C$5:$C$254,$A46)</f>
        <v>0</v>
      </c>
      <c r="H46" s="40">
        <f t="shared" si="0"/>
        <v>1</v>
      </c>
      <c r="I46" s="22">
        <f>IFERROR(INDEX('1. NhapKho'!$I$5:$I$351,MATCH($A46,'1. NhapKho'!$C$5:$C$351,0)),0)</f>
        <v>10800000</v>
      </c>
      <c r="J46" s="21">
        <f t="shared" si="1"/>
        <v>10800000</v>
      </c>
      <c r="K46" s="41" t="str">
        <f t="shared" si="2"/>
        <v/>
      </c>
    </row>
    <row r="47" spans="1:11" ht="26" customHeight="1" x14ac:dyDescent="0.2">
      <c r="A47" s="37" t="s">
        <v>519</v>
      </c>
      <c r="B47" s="38">
        <v>46196</v>
      </c>
      <c r="C47" s="13" t="s">
        <v>477</v>
      </c>
      <c r="D47" s="4" t="s">
        <v>132</v>
      </c>
      <c r="E47" s="14" t="s">
        <v>520</v>
      </c>
      <c r="F47" s="39">
        <f>IFERROR(INDEX('1. NhapKho'!$H$5:$H$351,MATCH($A47,'1. NhapKho'!$C$5:$C$351,0)),0)</f>
        <v>2</v>
      </c>
      <c r="G47" s="39">
        <f>SUMIFS('2. XuatKho'!$F$5:$F$254,'2. XuatKho'!$C$5:$C$254,$A47)</f>
        <v>0</v>
      </c>
      <c r="H47" s="40">
        <f t="shared" si="0"/>
        <v>2</v>
      </c>
      <c r="I47" s="22">
        <f>IFERROR(INDEX('1. NhapKho'!$I$5:$I$351,MATCH($A47,'1. NhapKho'!$C$5:$C$351,0)),0)</f>
        <v>10800000</v>
      </c>
      <c r="J47" s="21">
        <f t="shared" si="1"/>
        <v>21600000</v>
      </c>
      <c r="K47" s="41" t="str">
        <f t="shared" si="2"/>
        <v/>
      </c>
    </row>
    <row r="48" spans="1:11" x14ac:dyDescent="0.2">
      <c r="A48" s="37" t="s">
        <v>521</v>
      </c>
      <c r="B48" s="38">
        <v>46196</v>
      </c>
      <c r="C48" s="13" t="s">
        <v>477</v>
      </c>
      <c r="D48" s="4" t="s">
        <v>279</v>
      </c>
      <c r="E48" s="14" t="s">
        <v>280</v>
      </c>
      <c r="F48" s="39">
        <f>IFERROR(INDEX('1. NhapKho'!$H$5:$H$351,MATCH($A48,'1. NhapKho'!$C$5:$C$351,0)),0)</f>
        <v>1</v>
      </c>
      <c r="G48" s="39">
        <f>SUMIFS('2. XuatKho'!$F$5:$F$254,'2. XuatKho'!$C$5:$C$254,$A48)</f>
        <v>0</v>
      </c>
      <c r="H48" s="40">
        <f t="shared" si="0"/>
        <v>1</v>
      </c>
      <c r="I48" s="22">
        <f>IFERROR(INDEX('1. NhapKho'!$I$5:$I$351,MATCH($A48,'1. NhapKho'!$C$5:$C$351,0)),0)</f>
        <v>1800000</v>
      </c>
      <c r="J48" s="21">
        <f t="shared" si="1"/>
        <v>1800000</v>
      </c>
      <c r="K48" s="41" t="str">
        <f t="shared" si="2"/>
        <v/>
      </c>
    </row>
    <row r="49" spans="1:11" x14ac:dyDescent="0.2">
      <c r="A49" s="37" t="s">
        <v>522</v>
      </c>
      <c r="B49" s="38">
        <v>46196</v>
      </c>
      <c r="C49" s="13" t="s">
        <v>477</v>
      </c>
      <c r="D49" s="4" t="s">
        <v>281</v>
      </c>
      <c r="E49" s="14" t="s">
        <v>523</v>
      </c>
      <c r="F49" s="39">
        <f>IFERROR(INDEX('1. NhapKho'!$H$5:$H$351,MATCH($A49,'1. NhapKho'!$C$5:$C$351,0)),0)</f>
        <v>1</v>
      </c>
      <c r="G49" s="39">
        <f>SUMIFS('2. XuatKho'!$F$5:$F$254,'2. XuatKho'!$C$5:$C$254,$A49)</f>
        <v>0</v>
      </c>
      <c r="H49" s="40">
        <f t="shared" si="0"/>
        <v>1</v>
      </c>
      <c r="I49" s="22">
        <f>IFERROR(INDEX('1. NhapKho'!$I$5:$I$351,MATCH($A49,'1. NhapKho'!$C$5:$C$351,0)),0)</f>
        <v>2700000</v>
      </c>
      <c r="J49" s="21">
        <f t="shared" si="1"/>
        <v>2700000</v>
      </c>
      <c r="K49" s="41" t="str">
        <f t="shared" si="2"/>
        <v/>
      </c>
    </row>
    <row r="50" spans="1:11" x14ac:dyDescent="0.2">
      <c r="A50" s="37" t="s">
        <v>524</v>
      </c>
      <c r="B50" s="38">
        <v>46196</v>
      </c>
      <c r="C50" s="13" t="s">
        <v>477</v>
      </c>
      <c r="D50" s="4" t="s">
        <v>283</v>
      </c>
      <c r="E50" s="14" t="s">
        <v>525</v>
      </c>
      <c r="F50" s="39">
        <f>IFERROR(INDEX('1. NhapKho'!$H$5:$H$351,MATCH($A50,'1. NhapKho'!$C$5:$C$351,0)),0)</f>
        <v>1</v>
      </c>
      <c r="G50" s="39">
        <f>SUMIFS('2. XuatKho'!$F$5:$F$254,'2. XuatKho'!$C$5:$C$254,$A50)</f>
        <v>0</v>
      </c>
      <c r="H50" s="40">
        <f t="shared" si="0"/>
        <v>1</v>
      </c>
      <c r="I50" s="22">
        <f>IFERROR(INDEX('1. NhapKho'!$I$5:$I$351,MATCH($A50,'1. NhapKho'!$C$5:$C$351,0)),0)</f>
        <v>3300000</v>
      </c>
      <c r="J50" s="21">
        <f t="shared" si="1"/>
        <v>3300000</v>
      </c>
      <c r="K50" s="41" t="str">
        <f t="shared" si="2"/>
        <v/>
      </c>
    </row>
    <row r="51" spans="1:11" x14ac:dyDescent="0.2">
      <c r="A51" s="37" t="s">
        <v>526</v>
      </c>
      <c r="B51" s="38">
        <v>46196</v>
      </c>
      <c r="C51" s="13" t="s">
        <v>477</v>
      </c>
      <c r="D51" s="4" t="s">
        <v>285</v>
      </c>
      <c r="E51" s="14" t="s">
        <v>527</v>
      </c>
      <c r="F51" s="39">
        <f>IFERROR(INDEX('1. NhapKho'!$H$5:$H$351,MATCH($A51,'1. NhapKho'!$C$5:$C$351,0)),0)</f>
        <v>4</v>
      </c>
      <c r="G51" s="39">
        <f>SUMIFS('2. XuatKho'!$F$5:$F$254,'2. XuatKho'!$C$5:$C$254,$A51)</f>
        <v>0</v>
      </c>
      <c r="H51" s="40">
        <f t="shared" si="0"/>
        <v>4</v>
      </c>
      <c r="I51" s="22">
        <f>IFERROR(INDEX('1. NhapKho'!$I$5:$I$351,MATCH($A51,'1. NhapKho'!$C$5:$C$351,0)),0)</f>
        <v>12500000</v>
      </c>
      <c r="J51" s="21">
        <f t="shared" si="1"/>
        <v>50000000</v>
      </c>
      <c r="K51" s="41" t="str">
        <f t="shared" si="2"/>
        <v/>
      </c>
    </row>
    <row r="53" spans="1:11" x14ac:dyDescent="0.2">
      <c r="E53" s="28" t="s">
        <v>528</v>
      </c>
      <c r="F53" s="29">
        <f>SUM(F5:F51)</f>
        <v>120</v>
      </c>
      <c r="G53" s="29">
        <f>SUM(G5:G51)</f>
        <v>0</v>
      </c>
      <c r="H53" s="29">
        <f>SUM(H5:H51)</f>
        <v>120</v>
      </c>
      <c r="J53" s="42">
        <f>SUM(J5:J51)</f>
        <v>965800000</v>
      </c>
    </row>
  </sheetData>
  <autoFilter ref="A4:K5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3" width="10" customWidth="1"/>
    <col min="4" max="6" width="12" customWidth="1"/>
    <col min="7" max="7" width="20" customWidth="1"/>
    <col min="8" max="8" width="14" customWidth="1"/>
    <col min="9" max="9" width="12" customWidth="1"/>
  </cols>
  <sheetData>
    <row r="1" spans="1:9" ht="18" customHeight="1" x14ac:dyDescent="0.2">
      <c r="A1" s="1" t="s">
        <v>548</v>
      </c>
    </row>
    <row r="2" spans="1:9" x14ac:dyDescent="0.2">
      <c r="A2" s="2" t="s">
        <v>549</v>
      </c>
    </row>
    <row r="4" spans="1:9" ht="36" customHeight="1" x14ac:dyDescent="0.2">
      <c r="A4" s="10" t="s">
        <v>40</v>
      </c>
      <c r="B4" s="10" t="s">
        <v>42</v>
      </c>
      <c r="C4" s="10" t="s">
        <v>44</v>
      </c>
      <c r="D4" s="10" t="s">
        <v>433</v>
      </c>
      <c r="E4" s="10" t="s">
        <v>544</v>
      </c>
      <c r="F4" s="10" t="s">
        <v>545</v>
      </c>
      <c r="G4" s="10" t="s">
        <v>547</v>
      </c>
      <c r="H4" s="10" t="s">
        <v>550</v>
      </c>
      <c r="I4" s="10" t="s">
        <v>551</v>
      </c>
    </row>
    <row r="5" spans="1:9" x14ac:dyDescent="0.2">
      <c r="A5" s="4" t="s">
        <v>46</v>
      </c>
      <c r="B5" s="12" t="s">
        <v>47</v>
      </c>
      <c r="C5" s="13" t="s">
        <v>49</v>
      </c>
      <c r="D5" s="39">
        <f>SUMIFS('3. TonTheoLo'!$F$5:$F$51,'3. TonTheoLo'!$D$5:$D$51,$A5)</f>
        <v>0</v>
      </c>
      <c r="E5" s="39">
        <f>SUMIFS('3. TonTheoLo'!$G$5:$G$51,'3. TonTheoLo'!$D$5:$D$51,$A5)</f>
        <v>0</v>
      </c>
      <c r="F5" s="40">
        <f>SUMIFS('3. TonTheoLo'!$H$5:$H$51,'3. TonTheoLo'!$D$5:$D$51,$A5)</f>
        <v>0</v>
      </c>
      <c r="G5" s="21">
        <f>SUMIFS('3. TonTheoLo'!$J$5:$J$51,'3. TonTheoLo'!$D$5:$D$51,$A5)</f>
        <v>0</v>
      </c>
      <c r="H5" s="43">
        <v>0</v>
      </c>
      <c r="I5" s="39">
        <f t="shared" ref="I5:I36" si="0">F5-H5</f>
        <v>0</v>
      </c>
    </row>
    <row r="6" spans="1:9" x14ac:dyDescent="0.2">
      <c r="A6" s="4" t="s">
        <v>52</v>
      </c>
      <c r="B6" s="12" t="s">
        <v>47</v>
      </c>
      <c r="C6" s="13" t="s">
        <v>49</v>
      </c>
      <c r="D6" s="39">
        <f>SUMIFS('3. TonTheoLo'!$F$5:$F$51,'3. TonTheoLo'!$D$5:$D$51,$A6)</f>
        <v>0</v>
      </c>
      <c r="E6" s="39">
        <f>SUMIFS('3. TonTheoLo'!$G$5:$G$51,'3. TonTheoLo'!$D$5:$D$51,$A6)</f>
        <v>0</v>
      </c>
      <c r="F6" s="40">
        <f>SUMIFS('3. TonTheoLo'!$H$5:$H$51,'3. TonTheoLo'!$D$5:$D$51,$A6)</f>
        <v>0</v>
      </c>
      <c r="G6" s="21">
        <f>SUMIFS('3. TonTheoLo'!$J$5:$J$51,'3. TonTheoLo'!$D$5:$D$51,$A6)</f>
        <v>0</v>
      </c>
      <c r="H6" s="43">
        <v>0</v>
      </c>
      <c r="I6" s="39">
        <f t="shared" si="0"/>
        <v>0</v>
      </c>
    </row>
    <row r="7" spans="1:9" x14ac:dyDescent="0.2">
      <c r="A7" s="4" t="s">
        <v>55</v>
      </c>
      <c r="B7" s="12" t="s">
        <v>47</v>
      </c>
      <c r="C7" s="13" t="s">
        <v>49</v>
      </c>
      <c r="D7" s="39">
        <f>SUMIFS('3. TonTheoLo'!$F$5:$F$51,'3. TonTheoLo'!$D$5:$D$51,$A7)</f>
        <v>0</v>
      </c>
      <c r="E7" s="39">
        <f>SUMIFS('3. TonTheoLo'!$G$5:$G$51,'3. TonTheoLo'!$D$5:$D$51,$A7)</f>
        <v>0</v>
      </c>
      <c r="F7" s="40">
        <f>SUMIFS('3. TonTheoLo'!$H$5:$H$51,'3. TonTheoLo'!$D$5:$D$51,$A7)</f>
        <v>0</v>
      </c>
      <c r="G7" s="21">
        <f>SUMIFS('3. TonTheoLo'!$J$5:$J$51,'3. TonTheoLo'!$D$5:$D$51,$A7)</f>
        <v>0</v>
      </c>
      <c r="H7" s="43">
        <v>0</v>
      </c>
      <c r="I7" s="39">
        <f t="shared" si="0"/>
        <v>0</v>
      </c>
    </row>
    <row r="8" spans="1:9" x14ac:dyDescent="0.2">
      <c r="A8" s="4" t="s">
        <v>58</v>
      </c>
      <c r="B8" s="12" t="s">
        <v>47</v>
      </c>
      <c r="C8" s="13" t="s">
        <v>49</v>
      </c>
      <c r="D8" s="39">
        <f>SUMIFS('3. TonTheoLo'!$F$5:$F$51,'3. TonTheoLo'!$D$5:$D$51,$A8)</f>
        <v>0</v>
      </c>
      <c r="E8" s="39">
        <f>SUMIFS('3. TonTheoLo'!$G$5:$G$51,'3. TonTheoLo'!$D$5:$D$51,$A8)</f>
        <v>0</v>
      </c>
      <c r="F8" s="40">
        <f>SUMIFS('3. TonTheoLo'!$H$5:$H$51,'3. TonTheoLo'!$D$5:$D$51,$A8)</f>
        <v>0</v>
      </c>
      <c r="G8" s="21">
        <f>SUMIFS('3. TonTheoLo'!$J$5:$J$51,'3. TonTheoLo'!$D$5:$D$51,$A8)</f>
        <v>0</v>
      </c>
      <c r="H8" s="43">
        <v>0</v>
      </c>
      <c r="I8" s="39">
        <f t="shared" si="0"/>
        <v>0</v>
      </c>
    </row>
    <row r="9" spans="1:9" x14ac:dyDescent="0.2">
      <c r="A9" s="4" t="s">
        <v>61</v>
      </c>
      <c r="B9" s="12" t="s">
        <v>47</v>
      </c>
      <c r="C9" s="13"/>
      <c r="D9" s="39">
        <f>SUMIFS('3. TonTheoLo'!$F$5:$F$51,'3. TonTheoLo'!$D$5:$D$51,$A9)</f>
        <v>0</v>
      </c>
      <c r="E9" s="39">
        <f>SUMIFS('3. TonTheoLo'!$G$5:$G$51,'3. TonTheoLo'!$D$5:$D$51,$A9)</f>
        <v>0</v>
      </c>
      <c r="F9" s="40">
        <f>SUMIFS('3. TonTheoLo'!$H$5:$H$51,'3. TonTheoLo'!$D$5:$D$51,$A9)</f>
        <v>0</v>
      </c>
      <c r="G9" s="21">
        <f>SUMIFS('3. TonTheoLo'!$J$5:$J$51,'3. TonTheoLo'!$D$5:$D$51,$A9)</f>
        <v>0</v>
      </c>
      <c r="H9" s="43">
        <v>0</v>
      </c>
      <c r="I9" s="39">
        <f t="shared" si="0"/>
        <v>0</v>
      </c>
    </row>
    <row r="10" spans="1:9" x14ac:dyDescent="0.2">
      <c r="A10" s="4" t="s">
        <v>64</v>
      </c>
      <c r="B10" s="12" t="s">
        <v>65</v>
      </c>
      <c r="C10" s="13"/>
      <c r="D10" s="39">
        <f>SUMIFS('3. TonTheoLo'!$F$5:$F$51,'3. TonTheoLo'!$D$5:$D$51,$A10)</f>
        <v>0</v>
      </c>
      <c r="E10" s="39">
        <f>SUMIFS('3. TonTheoLo'!$G$5:$G$51,'3. TonTheoLo'!$D$5:$D$51,$A10)</f>
        <v>0</v>
      </c>
      <c r="F10" s="40">
        <f>SUMIFS('3. TonTheoLo'!$H$5:$H$51,'3. TonTheoLo'!$D$5:$D$51,$A10)</f>
        <v>0</v>
      </c>
      <c r="G10" s="21">
        <f>SUMIFS('3. TonTheoLo'!$J$5:$J$51,'3. TonTheoLo'!$D$5:$D$51,$A10)</f>
        <v>0</v>
      </c>
      <c r="H10" s="43">
        <v>0</v>
      </c>
      <c r="I10" s="39">
        <f t="shared" si="0"/>
        <v>0</v>
      </c>
    </row>
    <row r="11" spans="1:9" x14ac:dyDescent="0.2">
      <c r="A11" s="4" t="s">
        <v>68</v>
      </c>
      <c r="B11" s="12" t="s">
        <v>65</v>
      </c>
      <c r="C11" s="13" t="s">
        <v>70</v>
      </c>
      <c r="D11" s="39">
        <f>SUMIFS('3. TonTheoLo'!$F$5:$F$51,'3. TonTheoLo'!$D$5:$D$51,$A11)</f>
        <v>0</v>
      </c>
      <c r="E11" s="39">
        <f>SUMIFS('3. TonTheoLo'!$G$5:$G$51,'3. TonTheoLo'!$D$5:$D$51,$A11)</f>
        <v>0</v>
      </c>
      <c r="F11" s="40">
        <f>SUMIFS('3. TonTheoLo'!$H$5:$H$51,'3. TonTheoLo'!$D$5:$D$51,$A11)</f>
        <v>0</v>
      </c>
      <c r="G11" s="21">
        <f>SUMIFS('3. TonTheoLo'!$J$5:$J$51,'3. TonTheoLo'!$D$5:$D$51,$A11)</f>
        <v>0</v>
      </c>
      <c r="H11" s="43">
        <v>0</v>
      </c>
      <c r="I11" s="39">
        <f t="shared" si="0"/>
        <v>0</v>
      </c>
    </row>
    <row r="12" spans="1:9" x14ac:dyDescent="0.2">
      <c r="A12" s="4" t="s">
        <v>72</v>
      </c>
      <c r="B12" s="12" t="s">
        <v>65</v>
      </c>
      <c r="C12" s="13" t="s">
        <v>74</v>
      </c>
      <c r="D12" s="39">
        <f>SUMIFS('3. TonTheoLo'!$F$5:$F$51,'3. TonTheoLo'!$D$5:$D$51,$A12)</f>
        <v>0</v>
      </c>
      <c r="E12" s="39">
        <f>SUMIFS('3. TonTheoLo'!$G$5:$G$51,'3. TonTheoLo'!$D$5:$D$51,$A12)</f>
        <v>0</v>
      </c>
      <c r="F12" s="40">
        <f>SUMIFS('3. TonTheoLo'!$H$5:$H$51,'3. TonTheoLo'!$D$5:$D$51,$A12)</f>
        <v>0</v>
      </c>
      <c r="G12" s="21">
        <f>SUMIFS('3. TonTheoLo'!$J$5:$J$51,'3. TonTheoLo'!$D$5:$D$51,$A12)</f>
        <v>0</v>
      </c>
      <c r="H12" s="43">
        <v>0</v>
      </c>
      <c r="I12" s="39">
        <f t="shared" si="0"/>
        <v>0</v>
      </c>
    </row>
    <row r="13" spans="1:9" x14ac:dyDescent="0.2">
      <c r="A13" s="4" t="s">
        <v>76</v>
      </c>
      <c r="B13" s="12" t="s">
        <v>65</v>
      </c>
      <c r="C13" s="13" t="s">
        <v>74</v>
      </c>
      <c r="D13" s="39">
        <f>SUMIFS('3. TonTheoLo'!$F$5:$F$51,'3. TonTheoLo'!$D$5:$D$51,$A13)</f>
        <v>0</v>
      </c>
      <c r="E13" s="39">
        <f>SUMIFS('3. TonTheoLo'!$G$5:$G$51,'3. TonTheoLo'!$D$5:$D$51,$A13)</f>
        <v>0</v>
      </c>
      <c r="F13" s="40">
        <f>SUMIFS('3. TonTheoLo'!$H$5:$H$51,'3. TonTheoLo'!$D$5:$D$51,$A13)</f>
        <v>0</v>
      </c>
      <c r="G13" s="21">
        <f>SUMIFS('3. TonTheoLo'!$J$5:$J$51,'3. TonTheoLo'!$D$5:$D$51,$A13)</f>
        <v>0</v>
      </c>
      <c r="H13" s="43">
        <v>0</v>
      </c>
      <c r="I13" s="39">
        <f t="shared" si="0"/>
        <v>0</v>
      </c>
    </row>
    <row r="14" spans="1:9" x14ac:dyDescent="0.2">
      <c r="A14" s="4" t="s">
        <v>79</v>
      </c>
      <c r="B14" s="12" t="s">
        <v>65</v>
      </c>
      <c r="C14" s="13"/>
      <c r="D14" s="39">
        <f>SUMIFS('3. TonTheoLo'!$F$5:$F$51,'3. TonTheoLo'!$D$5:$D$51,$A14)</f>
        <v>0</v>
      </c>
      <c r="E14" s="39">
        <f>SUMIFS('3. TonTheoLo'!$G$5:$G$51,'3. TonTheoLo'!$D$5:$D$51,$A14)</f>
        <v>0</v>
      </c>
      <c r="F14" s="40">
        <f>SUMIFS('3. TonTheoLo'!$H$5:$H$51,'3. TonTheoLo'!$D$5:$D$51,$A14)</f>
        <v>0</v>
      </c>
      <c r="G14" s="21">
        <f>SUMIFS('3. TonTheoLo'!$J$5:$J$51,'3. TonTheoLo'!$D$5:$D$51,$A14)</f>
        <v>0</v>
      </c>
      <c r="H14" s="43">
        <v>0</v>
      </c>
      <c r="I14" s="39">
        <f t="shared" si="0"/>
        <v>0</v>
      </c>
    </row>
    <row r="15" spans="1:9" x14ac:dyDescent="0.2">
      <c r="A15" s="4" t="s">
        <v>82</v>
      </c>
      <c r="B15" s="12" t="s">
        <v>65</v>
      </c>
      <c r="C15" s="13" t="s">
        <v>74</v>
      </c>
      <c r="D15" s="39">
        <f>SUMIFS('3. TonTheoLo'!$F$5:$F$51,'3. TonTheoLo'!$D$5:$D$51,$A15)</f>
        <v>0</v>
      </c>
      <c r="E15" s="39">
        <f>SUMIFS('3. TonTheoLo'!$G$5:$G$51,'3. TonTheoLo'!$D$5:$D$51,$A15)</f>
        <v>0</v>
      </c>
      <c r="F15" s="40">
        <f>SUMIFS('3. TonTheoLo'!$H$5:$H$51,'3. TonTheoLo'!$D$5:$D$51,$A15)</f>
        <v>0</v>
      </c>
      <c r="G15" s="21">
        <f>SUMIFS('3. TonTheoLo'!$J$5:$J$51,'3. TonTheoLo'!$D$5:$D$51,$A15)</f>
        <v>0</v>
      </c>
      <c r="H15" s="43">
        <v>0</v>
      </c>
      <c r="I15" s="39">
        <f t="shared" si="0"/>
        <v>0</v>
      </c>
    </row>
    <row r="16" spans="1:9" x14ac:dyDescent="0.2">
      <c r="A16" s="4" t="s">
        <v>84</v>
      </c>
      <c r="B16" s="12" t="s">
        <v>65</v>
      </c>
      <c r="C16" s="13" t="s">
        <v>86</v>
      </c>
      <c r="D16" s="39">
        <f>SUMIFS('3. TonTheoLo'!$F$5:$F$51,'3. TonTheoLo'!$D$5:$D$51,$A16)</f>
        <v>0</v>
      </c>
      <c r="E16" s="39">
        <f>SUMIFS('3. TonTheoLo'!$G$5:$G$51,'3. TonTheoLo'!$D$5:$D$51,$A16)</f>
        <v>0</v>
      </c>
      <c r="F16" s="40">
        <f>SUMIFS('3. TonTheoLo'!$H$5:$H$51,'3. TonTheoLo'!$D$5:$D$51,$A16)</f>
        <v>0</v>
      </c>
      <c r="G16" s="21">
        <f>SUMIFS('3. TonTheoLo'!$J$5:$J$51,'3. TonTheoLo'!$D$5:$D$51,$A16)</f>
        <v>0</v>
      </c>
      <c r="H16" s="43">
        <v>0</v>
      </c>
      <c r="I16" s="39">
        <f t="shared" si="0"/>
        <v>0</v>
      </c>
    </row>
    <row r="17" spans="1:9" x14ac:dyDescent="0.2">
      <c r="A17" s="4" t="s">
        <v>88</v>
      </c>
      <c r="B17" s="12" t="s">
        <v>65</v>
      </c>
      <c r="C17" s="13"/>
      <c r="D17" s="39">
        <f>SUMIFS('3. TonTheoLo'!$F$5:$F$51,'3. TonTheoLo'!$D$5:$D$51,$A17)</f>
        <v>0</v>
      </c>
      <c r="E17" s="39">
        <f>SUMIFS('3. TonTheoLo'!$G$5:$G$51,'3. TonTheoLo'!$D$5:$D$51,$A17)</f>
        <v>0</v>
      </c>
      <c r="F17" s="40">
        <f>SUMIFS('3. TonTheoLo'!$H$5:$H$51,'3. TonTheoLo'!$D$5:$D$51,$A17)</f>
        <v>0</v>
      </c>
      <c r="G17" s="21">
        <f>SUMIFS('3. TonTheoLo'!$J$5:$J$51,'3. TonTheoLo'!$D$5:$D$51,$A17)</f>
        <v>0</v>
      </c>
      <c r="H17" s="43">
        <v>0</v>
      </c>
      <c r="I17" s="39">
        <f t="shared" si="0"/>
        <v>0</v>
      </c>
    </row>
    <row r="18" spans="1:9" x14ac:dyDescent="0.2">
      <c r="A18" s="4" t="s">
        <v>91</v>
      </c>
      <c r="B18" s="12" t="s">
        <v>65</v>
      </c>
      <c r="C18" s="13" t="s">
        <v>92</v>
      </c>
      <c r="D18" s="39">
        <f>SUMIFS('3. TonTheoLo'!$F$5:$F$51,'3. TonTheoLo'!$D$5:$D$51,$A18)</f>
        <v>1</v>
      </c>
      <c r="E18" s="39">
        <f>SUMIFS('3. TonTheoLo'!$G$5:$G$51,'3. TonTheoLo'!$D$5:$D$51,$A18)</f>
        <v>0</v>
      </c>
      <c r="F18" s="40">
        <f>SUMIFS('3. TonTheoLo'!$H$5:$H$51,'3. TonTheoLo'!$D$5:$D$51,$A18)</f>
        <v>1</v>
      </c>
      <c r="G18" s="21">
        <f>SUMIFS('3. TonTheoLo'!$J$5:$J$51,'3. TonTheoLo'!$D$5:$D$51,$A18)</f>
        <v>3400000</v>
      </c>
      <c r="H18" s="43">
        <v>0</v>
      </c>
      <c r="I18" s="39">
        <f t="shared" si="0"/>
        <v>1</v>
      </c>
    </row>
    <row r="19" spans="1:9" x14ac:dyDescent="0.2">
      <c r="A19" s="4" t="s">
        <v>93</v>
      </c>
      <c r="B19" s="12" t="s">
        <v>65</v>
      </c>
      <c r="C19" s="13" t="s">
        <v>94</v>
      </c>
      <c r="D19" s="39">
        <f>SUMIFS('3. TonTheoLo'!$F$5:$F$51,'3. TonTheoLo'!$D$5:$D$51,$A19)</f>
        <v>0</v>
      </c>
      <c r="E19" s="39">
        <f>SUMIFS('3. TonTheoLo'!$G$5:$G$51,'3. TonTheoLo'!$D$5:$D$51,$A19)</f>
        <v>0</v>
      </c>
      <c r="F19" s="40">
        <f>SUMIFS('3. TonTheoLo'!$H$5:$H$51,'3. TonTheoLo'!$D$5:$D$51,$A19)</f>
        <v>0</v>
      </c>
      <c r="G19" s="21">
        <f>SUMIFS('3. TonTheoLo'!$J$5:$J$51,'3. TonTheoLo'!$D$5:$D$51,$A19)</f>
        <v>0</v>
      </c>
      <c r="H19" s="43">
        <v>0</v>
      </c>
      <c r="I19" s="39">
        <f t="shared" si="0"/>
        <v>0</v>
      </c>
    </row>
    <row r="20" spans="1:9" x14ac:dyDescent="0.2">
      <c r="A20" s="4" t="s">
        <v>95</v>
      </c>
      <c r="B20" s="12" t="s">
        <v>65</v>
      </c>
      <c r="C20" s="13" t="s">
        <v>74</v>
      </c>
      <c r="D20" s="39">
        <f>SUMIFS('3. TonTheoLo'!$F$5:$F$51,'3. TonTheoLo'!$D$5:$D$51,$A20)</f>
        <v>1</v>
      </c>
      <c r="E20" s="39">
        <f>SUMIFS('3. TonTheoLo'!$G$5:$G$51,'3. TonTheoLo'!$D$5:$D$51,$A20)</f>
        <v>0</v>
      </c>
      <c r="F20" s="40">
        <f>SUMIFS('3. TonTheoLo'!$H$5:$H$51,'3. TonTheoLo'!$D$5:$D$51,$A20)</f>
        <v>1</v>
      </c>
      <c r="G20" s="21">
        <f>SUMIFS('3. TonTheoLo'!$J$5:$J$51,'3. TonTheoLo'!$D$5:$D$51,$A20)</f>
        <v>6000000</v>
      </c>
      <c r="H20" s="43">
        <v>0</v>
      </c>
      <c r="I20" s="39">
        <f t="shared" si="0"/>
        <v>1</v>
      </c>
    </row>
    <row r="21" spans="1:9" x14ac:dyDescent="0.2">
      <c r="A21" s="4" t="s">
        <v>97</v>
      </c>
      <c r="B21" s="12" t="s">
        <v>65</v>
      </c>
      <c r="C21" s="13" t="s">
        <v>86</v>
      </c>
      <c r="D21" s="39">
        <f>SUMIFS('3. TonTheoLo'!$F$5:$F$51,'3. TonTheoLo'!$D$5:$D$51,$A21)</f>
        <v>0</v>
      </c>
      <c r="E21" s="39">
        <f>SUMIFS('3. TonTheoLo'!$G$5:$G$51,'3. TonTheoLo'!$D$5:$D$51,$A21)</f>
        <v>0</v>
      </c>
      <c r="F21" s="40">
        <f>SUMIFS('3. TonTheoLo'!$H$5:$H$51,'3. TonTheoLo'!$D$5:$D$51,$A21)</f>
        <v>0</v>
      </c>
      <c r="G21" s="21">
        <f>SUMIFS('3. TonTheoLo'!$J$5:$J$51,'3. TonTheoLo'!$D$5:$D$51,$A21)</f>
        <v>0</v>
      </c>
      <c r="H21" s="43">
        <v>0</v>
      </c>
      <c r="I21" s="39">
        <f t="shared" si="0"/>
        <v>0</v>
      </c>
    </row>
    <row r="22" spans="1:9" x14ac:dyDescent="0.2">
      <c r="A22" s="4" t="s">
        <v>99</v>
      </c>
      <c r="B22" s="12" t="s">
        <v>65</v>
      </c>
      <c r="C22" s="13" t="s">
        <v>100</v>
      </c>
      <c r="D22" s="39">
        <f>SUMIFS('3. TonTheoLo'!$F$5:$F$51,'3. TonTheoLo'!$D$5:$D$51,$A22)</f>
        <v>1</v>
      </c>
      <c r="E22" s="39">
        <f>SUMIFS('3. TonTheoLo'!$G$5:$G$51,'3. TonTheoLo'!$D$5:$D$51,$A22)</f>
        <v>0</v>
      </c>
      <c r="F22" s="40">
        <f>SUMIFS('3. TonTheoLo'!$H$5:$H$51,'3. TonTheoLo'!$D$5:$D$51,$A22)</f>
        <v>1</v>
      </c>
      <c r="G22" s="21">
        <f>SUMIFS('3. TonTheoLo'!$J$5:$J$51,'3. TonTheoLo'!$D$5:$D$51,$A22)</f>
        <v>12000000</v>
      </c>
      <c r="H22" s="43">
        <v>0</v>
      </c>
      <c r="I22" s="39">
        <f t="shared" si="0"/>
        <v>1</v>
      </c>
    </row>
    <row r="23" spans="1:9" x14ac:dyDescent="0.2">
      <c r="A23" s="4" t="s">
        <v>102</v>
      </c>
      <c r="B23" s="12" t="s">
        <v>65</v>
      </c>
      <c r="C23" s="13" t="s">
        <v>70</v>
      </c>
      <c r="D23" s="39">
        <f>SUMIFS('3. TonTheoLo'!$F$5:$F$51,'3. TonTheoLo'!$D$5:$D$51,$A23)</f>
        <v>0</v>
      </c>
      <c r="E23" s="39">
        <f>SUMIFS('3. TonTheoLo'!$G$5:$G$51,'3. TonTheoLo'!$D$5:$D$51,$A23)</f>
        <v>0</v>
      </c>
      <c r="F23" s="40">
        <f>SUMIFS('3. TonTheoLo'!$H$5:$H$51,'3. TonTheoLo'!$D$5:$D$51,$A23)</f>
        <v>0</v>
      </c>
      <c r="G23" s="21">
        <f>SUMIFS('3. TonTheoLo'!$J$5:$J$51,'3. TonTheoLo'!$D$5:$D$51,$A23)</f>
        <v>0</v>
      </c>
      <c r="H23" s="43">
        <v>0</v>
      </c>
      <c r="I23" s="39">
        <f t="shared" si="0"/>
        <v>0</v>
      </c>
    </row>
    <row r="24" spans="1:9" x14ac:dyDescent="0.2">
      <c r="A24" s="4" t="s">
        <v>104</v>
      </c>
      <c r="B24" s="12" t="s">
        <v>65</v>
      </c>
      <c r="C24" s="13" t="s">
        <v>105</v>
      </c>
      <c r="D24" s="39">
        <f>SUMIFS('3. TonTheoLo'!$F$5:$F$51,'3. TonTheoLo'!$D$5:$D$51,$A24)</f>
        <v>0</v>
      </c>
      <c r="E24" s="39">
        <f>SUMIFS('3. TonTheoLo'!$G$5:$G$51,'3. TonTheoLo'!$D$5:$D$51,$A24)</f>
        <v>0</v>
      </c>
      <c r="F24" s="40">
        <f>SUMIFS('3. TonTheoLo'!$H$5:$H$51,'3. TonTheoLo'!$D$5:$D$51,$A24)</f>
        <v>0</v>
      </c>
      <c r="G24" s="21">
        <f>SUMIFS('3. TonTheoLo'!$J$5:$J$51,'3. TonTheoLo'!$D$5:$D$51,$A24)</f>
        <v>0</v>
      </c>
      <c r="H24" s="43">
        <v>0</v>
      </c>
      <c r="I24" s="39">
        <f t="shared" si="0"/>
        <v>0</v>
      </c>
    </row>
    <row r="25" spans="1:9" x14ac:dyDescent="0.2">
      <c r="A25" s="4" t="s">
        <v>107</v>
      </c>
      <c r="B25" s="12" t="s">
        <v>65</v>
      </c>
      <c r="C25" s="13"/>
      <c r="D25" s="39">
        <f>SUMIFS('3. TonTheoLo'!$F$5:$F$51,'3. TonTheoLo'!$D$5:$D$51,$A25)</f>
        <v>0</v>
      </c>
      <c r="E25" s="39">
        <f>SUMIFS('3. TonTheoLo'!$G$5:$G$51,'3. TonTheoLo'!$D$5:$D$51,$A25)</f>
        <v>0</v>
      </c>
      <c r="F25" s="40">
        <f>SUMIFS('3. TonTheoLo'!$H$5:$H$51,'3. TonTheoLo'!$D$5:$D$51,$A25)</f>
        <v>0</v>
      </c>
      <c r="G25" s="21">
        <f>SUMIFS('3. TonTheoLo'!$J$5:$J$51,'3. TonTheoLo'!$D$5:$D$51,$A25)</f>
        <v>0</v>
      </c>
      <c r="H25" s="43">
        <v>0</v>
      </c>
      <c r="I25" s="39">
        <f t="shared" si="0"/>
        <v>0</v>
      </c>
    </row>
    <row r="26" spans="1:9" x14ac:dyDescent="0.2">
      <c r="A26" s="4" t="s">
        <v>110</v>
      </c>
      <c r="B26" s="12" t="s">
        <v>65</v>
      </c>
      <c r="C26" s="13" t="s">
        <v>92</v>
      </c>
      <c r="D26" s="39">
        <f>SUMIFS('3. TonTheoLo'!$F$5:$F$51,'3. TonTheoLo'!$D$5:$D$51,$A26)</f>
        <v>1</v>
      </c>
      <c r="E26" s="39">
        <f>SUMIFS('3. TonTheoLo'!$G$5:$G$51,'3. TonTheoLo'!$D$5:$D$51,$A26)</f>
        <v>0</v>
      </c>
      <c r="F26" s="40">
        <f>SUMIFS('3. TonTheoLo'!$H$5:$H$51,'3. TonTheoLo'!$D$5:$D$51,$A26)</f>
        <v>1</v>
      </c>
      <c r="G26" s="21">
        <f>SUMIFS('3. TonTheoLo'!$J$5:$J$51,'3. TonTheoLo'!$D$5:$D$51,$A26)</f>
        <v>3400000</v>
      </c>
      <c r="H26" s="43">
        <v>0</v>
      </c>
      <c r="I26" s="39">
        <f t="shared" si="0"/>
        <v>1</v>
      </c>
    </row>
    <row r="27" spans="1:9" x14ac:dyDescent="0.2">
      <c r="A27" s="4" t="s">
        <v>112</v>
      </c>
      <c r="B27" s="12" t="s">
        <v>65</v>
      </c>
      <c r="C27" s="13" t="s">
        <v>74</v>
      </c>
      <c r="D27" s="39">
        <f>SUMIFS('3. TonTheoLo'!$F$5:$F$51,'3. TonTheoLo'!$D$5:$D$51,$A27)</f>
        <v>0</v>
      </c>
      <c r="E27" s="39">
        <f>SUMIFS('3. TonTheoLo'!$G$5:$G$51,'3. TonTheoLo'!$D$5:$D$51,$A27)</f>
        <v>0</v>
      </c>
      <c r="F27" s="40">
        <f>SUMIFS('3. TonTheoLo'!$H$5:$H$51,'3. TonTheoLo'!$D$5:$D$51,$A27)</f>
        <v>0</v>
      </c>
      <c r="G27" s="21">
        <f>SUMIFS('3. TonTheoLo'!$J$5:$J$51,'3. TonTheoLo'!$D$5:$D$51,$A27)</f>
        <v>0</v>
      </c>
      <c r="H27" s="43">
        <v>1</v>
      </c>
      <c r="I27" s="39">
        <f t="shared" si="0"/>
        <v>-1</v>
      </c>
    </row>
    <row r="28" spans="1:9" x14ac:dyDescent="0.2">
      <c r="A28" s="4" t="s">
        <v>114</v>
      </c>
      <c r="B28" s="12" t="s">
        <v>65</v>
      </c>
      <c r="C28" s="13" t="s">
        <v>86</v>
      </c>
      <c r="D28" s="39">
        <f>SUMIFS('3. TonTheoLo'!$F$5:$F$51,'3. TonTheoLo'!$D$5:$D$51,$A28)</f>
        <v>0</v>
      </c>
      <c r="E28" s="39">
        <f>SUMIFS('3. TonTheoLo'!$G$5:$G$51,'3. TonTheoLo'!$D$5:$D$51,$A28)</f>
        <v>0</v>
      </c>
      <c r="F28" s="40">
        <f>SUMIFS('3. TonTheoLo'!$H$5:$H$51,'3. TonTheoLo'!$D$5:$D$51,$A28)</f>
        <v>0</v>
      </c>
      <c r="G28" s="21">
        <f>SUMIFS('3. TonTheoLo'!$J$5:$J$51,'3. TonTheoLo'!$D$5:$D$51,$A28)</f>
        <v>0</v>
      </c>
      <c r="H28" s="43">
        <v>0</v>
      </c>
      <c r="I28" s="39">
        <f t="shared" si="0"/>
        <v>0</v>
      </c>
    </row>
    <row r="29" spans="1:9" x14ac:dyDescent="0.2">
      <c r="A29" s="4" t="s">
        <v>116</v>
      </c>
      <c r="B29" s="12" t="s">
        <v>65</v>
      </c>
      <c r="C29" s="13" t="s">
        <v>70</v>
      </c>
      <c r="D29" s="39">
        <f>SUMIFS('3. TonTheoLo'!$F$5:$F$51,'3. TonTheoLo'!$D$5:$D$51,$A29)</f>
        <v>0</v>
      </c>
      <c r="E29" s="39">
        <f>SUMIFS('3. TonTheoLo'!$G$5:$G$51,'3. TonTheoLo'!$D$5:$D$51,$A29)</f>
        <v>0</v>
      </c>
      <c r="F29" s="40">
        <f>SUMIFS('3. TonTheoLo'!$H$5:$H$51,'3. TonTheoLo'!$D$5:$D$51,$A29)</f>
        <v>0</v>
      </c>
      <c r="G29" s="21">
        <f>SUMIFS('3. TonTheoLo'!$J$5:$J$51,'3. TonTheoLo'!$D$5:$D$51,$A29)</f>
        <v>0</v>
      </c>
      <c r="H29" s="43">
        <v>0</v>
      </c>
      <c r="I29" s="39">
        <f t="shared" si="0"/>
        <v>0</v>
      </c>
    </row>
    <row r="30" spans="1:9" x14ac:dyDescent="0.2">
      <c r="A30" s="4" t="s">
        <v>118</v>
      </c>
      <c r="B30" s="12" t="s">
        <v>65</v>
      </c>
      <c r="C30" s="13" t="s">
        <v>70</v>
      </c>
      <c r="D30" s="39">
        <f>SUMIFS('3. TonTheoLo'!$F$5:$F$51,'3. TonTheoLo'!$D$5:$D$51,$A30)</f>
        <v>0</v>
      </c>
      <c r="E30" s="39">
        <f>SUMIFS('3. TonTheoLo'!$G$5:$G$51,'3. TonTheoLo'!$D$5:$D$51,$A30)</f>
        <v>0</v>
      </c>
      <c r="F30" s="40">
        <f>SUMIFS('3. TonTheoLo'!$H$5:$H$51,'3. TonTheoLo'!$D$5:$D$51,$A30)</f>
        <v>0</v>
      </c>
      <c r="G30" s="21">
        <f>SUMIFS('3. TonTheoLo'!$J$5:$J$51,'3. TonTheoLo'!$D$5:$D$51,$A30)</f>
        <v>0</v>
      </c>
      <c r="H30" s="43">
        <v>0</v>
      </c>
      <c r="I30" s="39">
        <f t="shared" si="0"/>
        <v>0</v>
      </c>
    </row>
    <row r="31" spans="1:9" x14ac:dyDescent="0.2">
      <c r="A31" s="4" t="s">
        <v>121</v>
      </c>
      <c r="B31" s="12" t="s">
        <v>65</v>
      </c>
      <c r="C31" s="13" t="s">
        <v>86</v>
      </c>
      <c r="D31" s="39">
        <f>SUMIFS('3. TonTheoLo'!$F$5:$F$51,'3. TonTheoLo'!$D$5:$D$51,$A31)</f>
        <v>0</v>
      </c>
      <c r="E31" s="39">
        <f>SUMIFS('3. TonTheoLo'!$G$5:$G$51,'3. TonTheoLo'!$D$5:$D$51,$A31)</f>
        <v>0</v>
      </c>
      <c r="F31" s="40">
        <f>SUMIFS('3. TonTheoLo'!$H$5:$H$51,'3. TonTheoLo'!$D$5:$D$51,$A31)</f>
        <v>0</v>
      </c>
      <c r="G31" s="21">
        <f>SUMIFS('3. TonTheoLo'!$J$5:$J$51,'3. TonTheoLo'!$D$5:$D$51,$A31)</f>
        <v>0</v>
      </c>
      <c r="H31" s="43">
        <v>0</v>
      </c>
      <c r="I31" s="39">
        <f t="shared" si="0"/>
        <v>0</v>
      </c>
    </row>
    <row r="32" spans="1:9" x14ac:dyDescent="0.2">
      <c r="A32" s="4" t="s">
        <v>124</v>
      </c>
      <c r="B32" s="12" t="s">
        <v>65</v>
      </c>
      <c r="C32" s="13"/>
      <c r="D32" s="39">
        <f>SUMIFS('3. TonTheoLo'!$F$5:$F$51,'3. TonTheoLo'!$D$5:$D$51,$A32)</f>
        <v>0</v>
      </c>
      <c r="E32" s="39">
        <f>SUMIFS('3. TonTheoLo'!$G$5:$G$51,'3. TonTheoLo'!$D$5:$D$51,$A32)</f>
        <v>0</v>
      </c>
      <c r="F32" s="40">
        <f>SUMIFS('3. TonTheoLo'!$H$5:$H$51,'3. TonTheoLo'!$D$5:$D$51,$A32)</f>
        <v>0</v>
      </c>
      <c r="G32" s="21">
        <f>SUMIFS('3. TonTheoLo'!$J$5:$J$51,'3. TonTheoLo'!$D$5:$D$51,$A32)</f>
        <v>0</v>
      </c>
      <c r="H32" s="43">
        <v>0</v>
      </c>
      <c r="I32" s="39">
        <f t="shared" si="0"/>
        <v>0</v>
      </c>
    </row>
    <row r="33" spans="1:9" x14ac:dyDescent="0.2">
      <c r="A33" s="4" t="s">
        <v>127</v>
      </c>
      <c r="B33" s="12" t="s">
        <v>65</v>
      </c>
      <c r="C33" s="13" t="s">
        <v>86</v>
      </c>
      <c r="D33" s="39">
        <f>SUMIFS('3. TonTheoLo'!$F$5:$F$51,'3. TonTheoLo'!$D$5:$D$51,$A33)</f>
        <v>2</v>
      </c>
      <c r="E33" s="39">
        <f>SUMIFS('3. TonTheoLo'!$G$5:$G$51,'3. TonTheoLo'!$D$5:$D$51,$A33)</f>
        <v>0</v>
      </c>
      <c r="F33" s="40">
        <f>SUMIFS('3. TonTheoLo'!$H$5:$H$51,'3. TonTheoLo'!$D$5:$D$51,$A33)</f>
        <v>2</v>
      </c>
      <c r="G33" s="21">
        <f>SUMIFS('3. TonTheoLo'!$J$5:$J$51,'3. TonTheoLo'!$D$5:$D$51,$A33)</f>
        <v>20000000</v>
      </c>
      <c r="H33" s="43">
        <v>0</v>
      </c>
      <c r="I33" s="39">
        <f t="shared" si="0"/>
        <v>2</v>
      </c>
    </row>
    <row r="34" spans="1:9" x14ac:dyDescent="0.2">
      <c r="A34" s="4" t="s">
        <v>129</v>
      </c>
      <c r="B34" s="12" t="s">
        <v>65</v>
      </c>
      <c r="C34" s="13" t="s">
        <v>74</v>
      </c>
      <c r="D34" s="39">
        <f>SUMIFS('3. TonTheoLo'!$F$5:$F$51,'3. TonTheoLo'!$D$5:$D$51,$A34)</f>
        <v>6</v>
      </c>
      <c r="E34" s="39">
        <f>SUMIFS('3. TonTheoLo'!$G$5:$G$51,'3. TonTheoLo'!$D$5:$D$51,$A34)</f>
        <v>0</v>
      </c>
      <c r="F34" s="40">
        <f>SUMIFS('3. TonTheoLo'!$H$5:$H$51,'3. TonTheoLo'!$D$5:$D$51,$A34)</f>
        <v>6</v>
      </c>
      <c r="G34" s="21">
        <f>SUMIFS('3. TonTheoLo'!$J$5:$J$51,'3. TonTheoLo'!$D$5:$D$51,$A34)</f>
        <v>58800000</v>
      </c>
      <c r="H34" s="43">
        <v>0</v>
      </c>
      <c r="I34" s="39">
        <f t="shared" si="0"/>
        <v>6</v>
      </c>
    </row>
    <row r="35" spans="1:9" x14ac:dyDescent="0.2">
      <c r="A35" s="4" t="s">
        <v>132</v>
      </c>
      <c r="B35" s="12" t="s">
        <v>65</v>
      </c>
      <c r="C35" s="13" t="s">
        <v>86</v>
      </c>
      <c r="D35" s="39">
        <f>SUMIFS('3. TonTheoLo'!$F$5:$F$51,'3. TonTheoLo'!$D$5:$D$51,$A35)</f>
        <v>3</v>
      </c>
      <c r="E35" s="39">
        <f>SUMIFS('3. TonTheoLo'!$G$5:$G$51,'3. TonTheoLo'!$D$5:$D$51,$A35)</f>
        <v>0</v>
      </c>
      <c r="F35" s="40">
        <f>SUMIFS('3. TonTheoLo'!$H$5:$H$51,'3. TonTheoLo'!$D$5:$D$51,$A35)</f>
        <v>3</v>
      </c>
      <c r="G35" s="21">
        <f>SUMIFS('3. TonTheoLo'!$J$5:$J$51,'3. TonTheoLo'!$D$5:$D$51,$A35)</f>
        <v>32400000</v>
      </c>
      <c r="H35" s="43">
        <v>1</v>
      </c>
      <c r="I35" s="39">
        <f t="shared" si="0"/>
        <v>2</v>
      </c>
    </row>
    <row r="36" spans="1:9" x14ac:dyDescent="0.2">
      <c r="A36" s="4" t="s">
        <v>134</v>
      </c>
      <c r="B36" s="12" t="s">
        <v>65</v>
      </c>
      <c r="C36" s="13" t="s">
        <v>70</v>
      </c>
      <c r="D36" s="39">
        <f>SUMIFS('3. TonTheoLo'!$F$5:$F$51,'3. TonTheoLo'!$D$5:$D$51,$A36)</f>
        <v>1</v>
      </c>
      <c r="E36" s="39">
        <f>SUMIFS('3. TonTheoLo'!$G$5:$G$51,'3. TonTheoLo'!$D$5:$D$51,$A36)</f>
        <v>0</v>
      </c>
      <c r="F36" s="40">
        <f>SUMIFS('3. TonTheoLo'!$H$5:$H$51,'3. TonTheoLo'!$D$5:$D$51,$A36)</f>
        <v>1</v>
      </c>
      <c r="G36" s="21">
        <f>SUMIFS('3. TonTheoLo'!$J$5:$J$51,'3. TonTheoLo'!$D$5:$D$51,$A36)</f>
        <v>22200000</v>
      </c>
      <c r="H36" s="43">
        <v>0</v>
      </c>
      <c r="I36" s="39">
        <f t="shared" si="0"/>
        <v>1</v>
      </c>
    </row>
    <row r="37" spans="1:9" x14ac:dyDescent="0.2">
      <c r="A37" s="4" t="s">
        <v>136</v>
      </c>
      <c r="B37" s="12" t="s">
        <v>65</v>
      </c>
      <c r="C37" s="13" t="s">
        <v>74</v>
      </c>
      <c r="D37" s="39">
        <f>SUMIFS('3. TonTheoLo'!$F$5:$F$51,'3. TonTheoLo'!$D$5:$D$51,$A37)</f>
        <v>8</v>
      </c>
      <c r="E37" s="39">
        <f>SUMIFS('3. TonTheoLo'!$G$5:$G$51,'3. TonTheoLo'!$D$5:$D$51,$A37)</f>
        <v>0</v>
      </c>
      <c r="F37" s="40">
        <f>SUMIFS('3. TonTheoLo'!$H$5:$H$51,'3. TonTheoLo'!$D$5:$D$51,$A37)</f>
        <v>8</v>
      </c>
      <c r="G37" s="21">
        <f>SUMIFS('3. TonTheoLo'!$J$5:$J$51,'3. TonTheoLo'!$D$5:$D$51,$A37)</f>
        <v>88000000</v>
      </c>
      <c r="H37" s="43">
        <v>1</v>
      </c>
      <c r="I37" s="39">
        <f t="shared" ref="I37:I68" si="1">F37-H37</f>
        <v>7</v>
      </c>
    </row>
    <row r="38" spans="1:9" x14ac:dyDescent="0.2">
      <c r="A38" s="4" t="s">
        <v>139</v>
      </c>
      <c r="B38" s="12" t="s">
        <v>65</v>
      </c>
      <c r="C38" s="13" t="s">
        <v>86</v>
      </c>
      <c r="D38" s="39">
        <f>SUMIFS('3. TonTheoLo'!$F$5:$F$51,'3. TonTheoLo'!$D$5:$D$51,$A38)</f>
        <v>4</v>
      </c>
      <c r="E38" s="39">
        <f>SUMIFS('3. TonTheoLo'!$G$5:$G$51,'3. TonTheoLo'!$D$5:$D$51,$A38)</f>
        <v>0</v>
      </c>
      <c r="F38" s="40">
        <f>SUMIFS('3. TonTheoLo'!$H$5:$H$51,'3. TonTheoLo'!$D$5:$D$51,$A38)</f>
        <v>4</v>
      </c>
      <c r="G38" s="21">
        <f>SUMIFS('3. TonTheoLo'!$J$5:$J$51,'3. TonTheoLo'!$D$5:$D$51,$A38)</f>
        <v>48400000</v>
      </c>
      <c r="H38" s="43">
        <v>0</v>
      </c>
      <c r="I38" s="39">
        <f t="shared" si="1"/>
        <v>4</v>
      </c>
    </row>
    <row r="39" spans="1:9" x14ac:dyDescent="0.2">
      <c r="A39" s="4" t="s">
        <v>141</v>
      </c>
      <c r="B39" s="12" t="s">
        <v>65</v>
      </c>
      <c r="C39" s="13" t="s">
        <v>142</v>
      </c>
      <c r="D39" s="39">
        <f>SUMIFS('3. TonTheoLo'!$F$5:$F$51,'3. TonTheoLo'!$D$5:$D$51,$A39)</f>
        <v>1</v>
      </c>
      <c r="E39" s="39">
        <f>SUMIFS('3. TonTheoLo'!$G$5:$G$51,'3. TonTheoLo'!$D$5:$D$51,$A39)</f>
        <v>0</v>
      </c>
      <c r="F39" s="40">
        <f>SUMIFS('3. TonTheoLo'!$H$5:$H$51,'3. TonTheoLo'!$D$5:$D$51,$A39)</f>
        <v>1</v>
      </c>
      <c r="G39" s="21">
        <f>SUMIFS('3. TonTheoLo'!$J$5:$J$51,'3. TonTheoLo'!$D$5:$D$51,$A39)</f>
        <v>22000000</v>
      </c>
      <c r="H39" s="43">
        <v>0</v>
      </c>
      <c r="I39" s="39">
        <f t="shared" si="1"/>
        <v>1</v>
      </c>
    </row>
    <row r="40" spans="1:9" x14ac:dyDescent="0.2">
      <c r="A40" s="4" t="s">
        <v>143</v>
      </c>
      <c r="B40" s="12" t="s">
        <v>65</v>
      </c>
      <c r="C40" s="13" t="s">
        <v>74</v>
      </c>
      <c r="D40" s="39">
        <f>SUMIFS('3. TonTheoLo'!$F$5:$F$51,'3. TonTheoLo'!$D$5:$D$51,$A40)</f>
        <v>0</v>
      </c>
      <c r="E40" s="39">
        <f>SUMIFS('3. TonTheoLo'!$G$5:$G$51,'3. TonTheoLo'!$D$5:$D$51,$A40)</f>
        <v>0</v>
      </c>
      <c r="F40" s="40">
        <f>SUMIFS('3. TonTheoLo'!$H$5:$H$51,'3. TonTheoLo'!$D$5:$D$51,$A40)</f>
        <v>0</v>
      </c>
      <c r="G40" s="21">
        <f>SUMIFS('3. TonTheoLo'!$J$5:$J$51,'3. TonTheoLo'!$D$5:$D$51,$A40)</f>
        <v>0</v>
      </c>
      <c r="H40" s="43">
        <v>0</v>
      </c>
      <c r="I40" s="39">
        <f t="shared" si="1"/>
        <v>0</v>
      </c>
    </row>
    <row r="41" spans="1:9" x14ac:dyDescent="0.2">
      <c r="A41" s="4" t="s">
        <v>146</v>
      </c>
      <c r="B41" s="12" t="s">
        <v>65</v>
      </c>
      <c r="C41" s="13"/>
      <c r="D41" s="39">
        <f>SUMIFS('3. TonTheoLo'!$F$5:$F$51,'3. TonTheoLo'!$D$5:$D$51,$A41)</f>
        <v>0</v>
      </c>
      <c r="E41" s="39">
        <f>SUMIFS('3. TonTheoLo'!$G$5:$G$51,'3. TonTheoLo'!$D$5:$D$51,$A41)</f>
        <v>0</v>
      </c>
      <c r="F41" s="40">
        <f>SUMIFS('3. TonTheoLo'!$H$5:$H$51,'3. TonTheoLo'!$D$5:$D$51,$A41)</f>
        <v>0</v>
      </c>
      <c r="G41" s="21">
        <f>SUMIFS('3. TonTheoLo'!$J$5:$J$51,'3. TonTheoLo'!$D$5:$D$51,$A41)</f>
        <v>0</v>
      </c>
      <c r="H41" s="43">
        <v>0</v>
      </c>
      <c r="I41" s="39">
        <f t="shared" si="1"/>
        <v>0</v>
      </c>
    </row>
    <row r="42" spans="1:9" x14ac:dyDescent="0.2">
      <c r="A42" s="4" t="s">
        <v>149</v>
      </c>
      <c r="B42" s="12" t="s">
        <v>65</v>
      </c>
      <c r="C42" s="13" t="s">
        <v>74</v>
      </c>
      <c r="D42" s="39">
        <f>SUMIFS('3. TonTheoLo'!$F$5:$F$51,'3. TonTheoLo'!$D$5:$D$51,$A42)</f>
        <v>0</v>
      </c>
      <c r="E42" s="39">
        <f>SUMIFS('3. TonTheoLo'!$G$5:$G$51,'3. TonTheoLo'!$D$5:$D$51,$A42)</f>
        <v>0</v>
      </c>
      <c r="F42" s="40">
        <f>SUMIFS('3. TonTheoLo'!$H$5:$H$51,'3. TonTheoLo'!$D$5:$D$51,$A42)</f>
        <v>0</v>
      </c>
      <c r="G42" s="21">
        <f>SUMIFS('3. TonTheoLo'!$J$5:$J$51,'3. TonTheoLo'!$D$5:$D$51,$A42)</f>
        <v>0</v>
      </c>
      <c r="H42" s="43">
        <v>0</v>
      </c>
      <c r="I42" s="39">
        <f t="shared" si="1"/>
        <v>0</v>
      </c>
    </row>
    <row r="43" spans="1:9" x14ac:dyDescent="0.2">
      <c r="A43" s="4" t="s">
        <v>151</v>
      </c>
      <c r="B43" s="12" t="s">
        <v>65</v>
      </c>
      <c r="C43" s="13" t="s">
        <v>86</v>
      </c>
      <c r="D43" s="39">
        <f>SUMIFS('3. TonTheoLo'!$F$5:$F$51,'3. TonTheoLo'!$D$5:$D$51,$A43)</f>
        <v>0</v>
      </c>
      <c r="E43" s="39">
        <f>SUMIFS('3. TonTheoLo'!$G$5:$G$51,'3. TonTheoLo'!$D$5:$D$51,$A43)</f>
        <v>0</v>
      </c>
      <c r="F43" s="40">
        <f>SUMIFS('3. TonTheoLo'!$H$5:$H$51,'3. TonTheoLo'!$D$5:$D$51,$A43)</f>
        <v>0</v>
      </c>
      <c r="G43" s="21">
        <f>SUMIFS('3. TonTheoLo'!$J$5:$J$51,'3. TonTheoLo'!$D$5:$D$51,$A43)</f>
        <v>0</v>
      </c>
      <c r="H43" s="43">
        <v>8</v>
      </c>
      <c r="I43" s="39">
        <f t="shared" si="1"/>
        <v>-8</v>
      </c>
    </row>
    <row r="44" spans="1:9" x14ac:dyDescent="0.2">
      <c r="A44" s="4" t="s">
        <v>153</v>
      </c>
      <c r="B44" s="12" t="s">
        <v>65</v>
      </c>
      <c r="C44" s="13" t="s">
        <v>70</v>
      </c>
      <c r="D44" s="39">
        <f>SUMIFS('3. TonTheoLo'!$F$5:$F$51,'3. TonTheoLo'!$D$5:$D$51,$A44)</f>
        <v>0</v>
      </c>
      <c r="E44" s="39">
        <f>SUMIFS('3. TonTheoLo'!$G$5:$G$51,'3. TonTheoLo'!$D$5:$D$51,$A44)</f>
        <v>0</v>
      </c>
      <c r="F44" s="40">
        <f>SUMIFS('3. TonTheoLo'!$H$5:$H$51,'3. TonTheoLo'!$D$5:$D$51,$A44)</f>
        <v>0</v>
      </c>
      <c r="G44" s="21">
        <f>SUMIFS('3. TonTheoLo'!$J$5:$J$51,'3. TonTheoLo'!$D$5:$D$51,$A44)</f>
        <v>0</v>
      </c>
      <c r="H44" s="43">
        <v>0</v>
      </c>
      <c r="I44" s="39">
        <f t="shared" si="1"/>
        <v>0</v>
      </c>
    </row>
    <row r="45" spans="1:9" x14ac:dyDescent="0.2">
      <c r="A45" s="4" t="s">
        <v>155</v>
      </c>
      <c r="B45" s="12" t="s">
        <v>65</v>
      </c>
      <c r="C45" s="13" t="s">
        <v>156</v>
      </c>
      <c r="D45" s="39">
        <f>SUMIFS('3. TonTheoLo'!$F$5:$F$51,'3. TonTheoLo'!$D$5:$D$51,$A45)</f>
        <v>0</v>
      </c>
      <c r="E45" s="39">
        <f>SUMIFS('3. TonTheoLo'!$G$5:$G$51,'3. TonTheoLo'!$D$5:$D$51,$A45)</f>
        <v>0</v>
      </c>
      <c r="F45" s="40">
        <f>SUMIFS('3. TonTheoLo'!$H$5:$H$51,'3. TonTheoLo'!$D$5:$D$51,$A45)</f>
        <v>0</v>
      </c>
      <c r="G45" s="21">
        <f>SUMIFS('3. TonTheoLo'!$J$5:$J$51,'3. TonTheoLo'!$D$5:$D$51,$A45)</f>
        <v>0</v>
      </c>
      <c r="H45" s="43">
        <v>0</v>
      </c>
      <c r="I45" s="39">
        <f t="shared" si="1"/>
        <v>0</v>
      </c>
    </row>
    <row r="46" spans="1:9" x14ac:dyDescent="0.2">
      <c r="A46" s="4" t="s">
        <v>158</v>
      </c>
      <c r="B46" s="12" t="s">
        <v>65</v>
      </c>
      <c r="C46" s="13"/>
      <c r="D46" s="39">
        <f>SUMIFS('3. TonTheoLo'!$F$5:$F$51,'3. TonTheoLo'!$D$5:$D$51,$A46)</f>
        <v>0</v>
      </c>
      <c r="E46" s="39">
        <f>SUMIFS('3. TonTheoLo'!$G$5:$G$51,'3. TonTheoLo'!$D$5:$D$51,$A46)</f>
        <v>0</v>
      </c>
      <c r="F46" s="40">
        <f>SUMIFS('3. TonTheoLo'!$H$5:$H$51,'3. TonTheoLo'!$D$5:$D$51,$A46)</f>
        <v>0</v>
      </c>
      <c r="G46" s="21">
        <f>SUMIFS('3. TonTheoLo'!$J$5:$J$51,'3. TonTheoLo'!$D$5:$D$51,$A46)</f>
        <v>0</v>
      </c>
      <c r="H46" s="43">
        <v>0</v>
      </c>
      <c r="I46" s="39">
        <f t="shared" si="1"/>
        <v>0</v>
      </c>
    </row>
    <row r="47" spans="1:9" x14ac:dyDescent="0.2">
      <c r="A47" s="4" t="s">
        <v>161</v>
      </c>
      <c r="B47" s="12" t="s">
        <v>65</v>
      </c>
      <c r="C47" s="13" t="s">
        <v>74</v>
      </c>
      <c r="D47" s="39">
        <f>SUMIFS('3. TonTheoLo'!$F$5:$F$51,'3. TonTheoLo'!$D$5:$D$51,$A47)</f>
        <v>2</v>
      </c>
      <c r="E47" s="39">
        <f>SUMIFS('3. TonTheoLo'!$G$5:$G$51,'3. TonTheoLo'!$D$5:$D$51,$A47)</f>
        <v>0</v>
      </c>
      <c r="F47" s="40">
        <f>SUMIFS('3. TonTheoLo'!$H$5:$H$51,'3. TonTheoLo'!$D$5:$D$51,$A47)</f>
        <v>2</v>
      </c>
      <c r="G47" s="21">
        <f>SUMIFS('3. TonTheoLo'!$J$5:$J$51,'3. TonTheoLo'!$D$5:$D$51,$A47)</f>
        <v>19000000</v>
      </c>
      <c r="H47" s="43">
        <v>1</v>
      </c>
      <c r="I47" s="39">
        <f t="shared" si="1"/>
        <v>1</v>
      </c>
    </row>
    <row r="48" spans="1:9" x14ac:dyDescent="0.2">
      <c r="A48" s="4" t="s">
        <v>163</v>
      </c>
      <c r="B48" s="12" t="s">
        <v>65</v>
      </c>
      <c r="C48" s="13" t="s">
        <v>86</v>
      </c>
      <c r="D48" s="39">
        <f>SUMIFS('3. TonTheoLo'!$F$5:$F$51,'3. TonTheoLo'!$D$5:$D$51,$A48)</f>
        <v>5</v>
      </c>
      <c r="E48" s="39">
        <f>SUMIFS('3. TonTheoLo'!$G$5:$G$51,'3. TonTheoLo'!$D$5:$D$51,$A48)</f>
        <v>0</v>
      </c>
      <c r="F48" s="40">
        <f>SUMIFS('3. TonTheoLo'!$H$5:$H$51,'3. TonTheoLo'!$D$5:$D$51,$A48)</f>
        <v>5</v>
      </c>
      <c r="G48" s="21">
        <f>SUMIFS('3. TonTheoLo'!$J$5:$J$51,'3. TonTheoLo'!$D$5:$D$51,$A48)</f>
        <v>51000000</v>
      </c>
      <c r="H48" s="43">
        <v>0</v>
      </c>
      <c r="I48" s="39">
        <f t="shared" si="1"/>
        <v>5</v>
      </c>
    </row>
    <row r="49" spans="1:9" x14ac:dyDescent="0.2">
      <c r="A49" s="4" t="s">
        <v>165</v>
      </c>
      <c r="B49" s="12" t="s">
        <v>65</v>
      </c>
      <c r="C49" s="13" t="s">
        <v>100</v>
      </c>
      <c r="D49" s="39">
        <f>SUMIFS('3. TonTheoLo'!$F$5:$F$51,'3. TonTheoLo'!$D$5:$D$51,$A49)</f>
        <v>0</v>
      </c>
      <c r="E49" s="39">
        <f>SUMIFS('3. TonTheoLo'!$G$5:$G$51,'3. TonTheoLo'!$D$5:$D$51,$A49)</f>
        <v>0</v>
      </c>
      <c r="F49" s="40">
        <f>SUMIFS('3. TonTheoLo'!$H$5:$H$51,'3. TonTheoLo'!$D$5:$D$51,$A49)</f>
        <v>0</v>
      </c>
      <c r="G49" s="21">
        <f>SUMIFS('3. TonTheoLo'!$J$5:$J$51,'3. TonTheoLo'!$D$5:$D$51,$A49)</f>
        <v>0</v>
      </c>
      <c r="H49" s="43">
        <v>0</v>
      </c>
      <c r="I49" s="39">
        <f t="shared" si="1"/>
        <v>0</v>
      </c>
    </row>
    <row r="50" spans="1:9" x14ac:dyDescent="0.2">
      <c r="A50" s="4" t="s">
        <v>167</v>
      </c>
      <c r="B50" s="12" t="s">
        <v>65</v>
      </c>
      <c r="C50" s="13" t="s">
        <v>142</v>
      </c>
      <c r="D50" s="39">
        <f>SUMIFS('3. TonTheoLo'!$F$5:$F$51,'3. TonTheoLo'!$D$5:$D$51,$A50)</f>
        <v>2</v>
      </c>
      <c r="E50" s="39">
        <f>SUMIFS('3. TonTheoLo'!$G$5:$G$51,'3. TonTheoLo'!$D$5:$D$51,$A50)</f>
        <v>0</v>
      </c>
      <c r="F50" s="40">
        <f>SUMIFS('3. TonTheoLo'!$H$5:$H$51,'3. TonTheoLo'!$D$5:$D$51,$A50)</f>
        <v>2</v>
      </c>
      <c r="G50" s="21">
        <f>SUMIFS('3. TonTheoLo'!$J$5:$J$51,'3. TonTheoLo'!$D$5:$D$51,$A50)</f>
        <v>44000000</v>
      </c>
      <c r="H50" s="43">
        <v>0</v>
      </c>
      <c r="I50" s="39">
        <f t="shared" si="1"/>
        <v>2</v>
      </c>
    </row>
    <row r="51" spans="1:9" x14ac:dyDescent="0.2">
      <c r="A51" s="4" t="s">
        <v>168</v>
      </c>
      <c r="B51" s="12" t="s">
        <v>65</v>
      </c>
      <c r="C51" s="13"/>
      <c r="D51" s="39">
        <f>SUMIFS('3. TonTheoLo'!$F$5:$F$51,'3. TonTheoLo'!$D$5:$D$51,$A51)</f>
        <v>0</v>
      </c>
      <c r="E51" s="39">
        <f>SUMIFS('3. TonTheoLo'!$G$5:$G$51,'3. TonTheoLo'!$D$5:$D$51,$A51)</f>
        <v>0</v>
      </c>
      <c r="F51" s="40">
        <f>SUMIFS('3. TonTheoLo'!$H$5:$H$51,'3. TonTheoLo'!$D$5:$D$51,$A51)</f>
        <v>0</v>
      </c>
      <c r="G51" s="21">
        <f>SUMIFS('3. TonTheoLo'!$J$5:$J$51,'3. TonTheoLo'!$D$5:$D$51,$A51)</f>
        <v>0</v>
      </c>
      <c r="H51" s="43">
        <v>0</v>
      </c>
      <c r="I51" s="39">
        <f t="shared" si="1"/>
        <v>0</v>
      </c>
    </row>
    <row r="52" spans="1:9" x14ac:dyDescent="0.2">
      <c r="A52" s="4" t="s">
        <v>171</v>
      </c>
      <c r="B52" s="12" t="s">
        <v>65</v>
      </c>
      <c r="C52" s="13" t="s">
        <v>92</v>
      </c>
      <c r="D52" s="39">
        <f>SUMIFS('3. TonTheoLo'!$F$5:$F$51,'3. TonTheoLo'!$D$5:$D$51,$A52)</f>
        <v>1</v>
      </c>
      <c r="E52" s="39">
        <f>SUMIFS('3. TonTheoLo'!$G$5:$G$51,'3. TonTheoLo'!$D$5:$D$51,$A52)</f>
        <v>0</v>
      </c>
      <c r="F52" s="40">
        <f>SUMIFS('3. TonTheoLo'!$H$5:$H$51,'3. TonTheoLo'!$D$5:$D$51,$A52)</f>
        <v>1</v>
      </c>
      <c r="G52" s="21">
        <f>SUMIFS('3. TonTheoLo'!$J$5:$J$51,'3. TonTheoLo'!$D$5:$D$51,$A52)</f>
        <v>3400000</v>
      </c>
      <c r="H52" s="43">
        <v>0</v>
      </c>
      <c r="I52" s="39">
        <f t="shared" si="1"/>
        <v>1</v>
      </c>
    </row>
    <row r="53" spans="1:9" x14ac:dyDescent="0.2">
      <c r="A53" s="4" t="s">
        <v>172</v>
      </c>
      <c r="B53" s="12" t="s">
        <v>65</v>
      </c>
      <c r="C53" s="13" t="s">
        <v>94</v>
      </c>
      <c r="D53" s="39">
        <f>SUMIFS('3. TonTheoLo'!$F$5:$F$51,'3. TonTheoLo'!$D$5:$D$51,$A53)</f>
        <v>0</v>
      </c>
      <c r="E53" s="39">
        <f>SUMIFS('3. TonTheoLo'!$G$5:$G$51,'3. TonTheoLo'!$D$5:$D$51,$A53)</f>
        <v>0</v>
      </c>
      <c r="F53" s="40">
        <f>SUMIFS('3. TonTheoLo'!$H$5:$H$51,'3. TonTheoLo'!$D$5:$D$51,$A53)</f>
        <v>0</v>
      </c>
      <c r="G53" s="21">
        <f>SUMIFS('3. TonTheoLo'!$J$5:$J$51,'3. TonTheoLo'!$D$5:$D$51,$A53)</f>
        <v>0</v>
      </c>
      <c r="H53" s="43">
        <v>0</v>
      </c>
      <c r="I53" s="39">
        <f t="shared" si="1"/>
        <v>0</v>
      </c>
    </row>
    <row r="54" spans="1:9" x14ac:dyDescent="0.2">
      <c r="A54" s="4" t="s">
        <v>173</v>
      </c>
      <c r="B54" s="12" t="s">
        <v>65</v>
      </c>
      <c r="C54" s="13" t="s">
        <v>74</v>
      </c>
      <c r="D54" s="39">
        <f>SUMIFS('3. TonTheoLo'!$F$5:$F$51,'3. TonTheoLo'!$D$5:$D$51,$A54)</f>
        <v>3</v>
      </c>
      <c r="E54" s="39">
        <f>SUMIFS('3. TonTheoLo'!$G$5:$G$51,'3. TonTheoLo'!$D$5:$D$51,$A54)</f>
        <v>0</v>
      </c>
      <c r="F54" s="40">
        <f>SUMIFS('3. TonTheoLo'!$H$5:$H$51,'3. TonTheoLo'!$D$5:$D$51,$A54)</f>
        <v>3</v>
      </c>
      <c r="G54" s="21">
        <f>SUMIFS('3. TonTheoLo'!$J$5:$J$51,'3. TonTheoLo'!$D$5:$D$51,$A54)</f>
        <v>18000000</v>
      </c>
      <c r="H54" s="43">
        <v>0</v>
      </c>
      <c r="I54" s="39">
        <f t="shared" si="1"/>
        <v>3</v>
      </c>
    </row>
    <row r="55" spans="1:9" x14ac:dyDescent="0.2">
      <c r="A55" s="4" t="s">
        <v>175</v>
      </c>
      <c r="B55" s="12" t="s">
        <v>65</v>
      </c>
      <c r="C55" s="13" t="s">
        <v>86</v>
      </c>
      <c r="D55" s="39">
        <f>SUMIFS('3. TonTheoLo'!$F$5:$F$51,'3. TonTheoLo'!$D$5:$D$51,$A55)</f>
        <v>0</v>
      </c>
      <c r="E55" s="39">
        <f>SUMIFS('3. TonTheoLo'!$G$5:$G$51,'3. TonTheoLo'!$D$5:$D$51,$A55)</f>
        <v>0</v>
      </c>
      <c r="F55" s="40">
        <f>SUMIFS('3. TonTheoLo'!$H$5:$H$51,'3. TonTheoLo'!$D$5:$D$51,$A55)</f>
        <v>0</v>
      </c>
      <c r="G55" s="21">
        <f>SUMIFS('3. TonTheoLo'!$J$5:$J$51,'3. TonTheoLo'!$D$5:$D$51,$A55)</f>
        <v>0</v>
      </c>
      <c r="H55" s="43">
        <v>0</v>
      </c>
      <c r="I55" s="39">
        <f t="shared" si="1"/>
        <v>0</v>
      </c>
    </row>
    <row r="56" spans="1:9" x14ac:dyDescent="0.2">
      <c r="A56" s="4" t="s">
        <v>176</v>
      </c>
      <c r="B56" s="12" t="s">
        <v>65</v>
      </c>
      <c r="C56" s="13" t="s">
        <v>100</v>
      </c>
      <c r="D56" s="39">
        <f>SUMIFS('3. TonTheoLo'!$F$5:$F$51,'3. TonTheoLo'!$D$5:$D$51,$A56)</f>
        <v>1</v>
      </c>
      <c r="E56" s="39">
        <f>SUMIFS('3. TonTheoLo'!$G$5:$G$51,'3. TonTheoLo'!$D$5:$D$51,$A56)</f>
        <v>0</v>
      </c>
      <c r="F56" s="40">
        <f>SUMIFS('3. TonTheoLo'!$H$5:$H$51,'3. TonTheoLo'!$D$5:$D$51,$A56)</f>
        <v>1</v>
      </c>
      <c r="G56" s="21">
        <f>SUMIFS('3. TonTheoLo'!$J$5:$J$51,'3. TonTheoLo'!$D$5:$D$51,$A56)</f>
        <v>12000000</v>
      </c>
      <c r="H56" s="43">
        <v>0</v>
      </c>
      <c r="I56" s="39">
        <f t="shared" si="1"/>
        <v>1</v>
      </c>
    </row>
    <row r="57" spans="1:9" x14ac:dyDescent="0.2">
      <c r="A57" s="4" t="s">
        <v>178</v>
      </c>
      <c r="B57" s="12" t="s">
        <v>65</v>
      </c>
      <c r="C57" s="13" t="s">
        <v>70</v>
      </c>
      <c r="D57" s="39">
        <f>SUMIFS('3. TonTheoLo'!$F$5:$F$51,'3. TonTheoLo'!$D$5:$D$51,$A57)</f>
        <v>0</v>
      </c>
      <c r="E57" s="39">
        <f>SUMIFS('3. TonTheoLo'!$G$5:$G$51,'3. TonTheoLo'!$D$5:$D$51,$A57)</f>
        <v>0</v>
      </c>
      <c r="F57" s="40">
        <f>SUMIFS('3. TonTheoLo'!$H$5:$H$51,'3. TonTheoLo'!$D$5:$D$51,$A57)</f>
        <v>0</v>
      </c>
      <c r="G57" s="21">
        <f>SUMIFS('3. TonTheoLo'!$J$5:$J$51,'3. TonTheoLo'!$D$5:$D$51,$A57)</f>
        <v>0</v>
      </c>
      <c r="H57" s="43">
        <v>0</v>
      </c>
      <c r="I57" s="39">
        <f t="shared" si="1"/>
        <v>0</v>
      </c>
    </row>
    <row r="58" spans="1:9" x14ac:dyDescent="0.2">
      <c r="A58" s="4" t="s">
        <v>180</v>
      </c>
      <c r="B58" s="12" t="s">
        <v>65</v>
      </c>
      <c r="C58" s="13" t="s">
        <v>105</v>
      </c>
      <c r="D58" s="39">
        <f>SUMIFS('3. TonTheoLo'!$F$5:$F$51,'3. TonTheoLo'!$D$5:$D$51,$A58)</f>
        <v>0</v>
      </c>
      <c r="E58" s="39">
        <f>SUMIFS('3. TonTheoLo'!$G$5:$G$51,'3. TonTheoLo'!$D$5:$D$51,$A58)</f>
        <v>0</v>
      </c>
      <c r="F58" s="40">
        <f>SUMIFS('3. TonTheoLo'!$H$5:$H$51,'3. TonTheoLo'!$D$5:$D$51,$A58)</f>
        <v>0</v>
      </c>
      <c r="G58" s="21">
        <f>SUMIFS('3. TonTheoLo'!$J$5:$J$51,'3. TonTheoLo'!$D$5:$D$51,$A58)</f>
        <v>0</v>
      </c>
      <c r="H58" s="43">
        <v>0</v>
      </c>
      <c r="I58" s="39">
        <f t="shared" si="1"/>
        <v>0</v>
      </c>
    </row>
    <row r="59" spans="1:9" x14ac:dyDescent="0.2">
      <c r="A59" s="4" t="s">
        <v>182</v>
      </c>
      <c r="B59" s="12" t="s">
        <v>65</v>
      </c>
      <c r="C59" s="13"/>
      <c r="D59" s="39">
        <f>SUMIFS('3. TonTheoLo'!$F$5:$F$51,'3. TonTheoLo'!$D$5:$D$51,$A59)</f>
        <v>0</v>
      </c>
      <c r="E59" s="39">
        <f>SUMIFS('3. TonTheoLo'!$G$5:$G$51,'3. TonTheoLo'!$D$5:$D$51,$A59)</f>
        <v>0</v>
      </c>
      <c r="F59" s="40">
        <f>SUMIFS('3. TonTheoLo'!$H$5:$H$51,'3. TonTheoLo'!$D$5:$D$51,$A59)</f>
        <v>0</v>
      </c>
      <c r="G59" s="21">
        <f>SUMIFS('3. TonTheoLo'!$J$5:$J$51,'3. TonTheoLo'!$D$5:$D$51,$A59)</f>
        <v>0</v>
      </c>
      <c r="H59" s="43">
        <v>0</v>
      </c>
      <c r="I59" s="39">
        <f t="shared" si="1"/>
        <v>0</v>
      </c>
    </row>
    <row r="60" spans="1:9" x14ac:dyDescent="0.2">
      <c r="A60" s="4" t="s">
        <v>185</v>
      </c>
      <c r="B60" s="12" t="s">
        <v>65</v>
      </c>
      <c r="C60" s="13" t="s">
        <v>92</v>
      </c>
      <c r="D60" s="39">
        <f>SUMIFS('3. TonTheoLo'!$F$5:$F$51,'3. TonTheoLo'!$D$5:$D$51,$A60)</f>
        <v>4</v>
      </c>
      <c r="E60" s="39">
        <f>SUMIFS('3. TonTheoLo'!$G$5:$G$51,'3. TonTheoLo'!$D$5:$D$51,$A60)</f>
        <v>0</v>
      </c>
      <c r="F60" s="40">
        <f>SUMIFS('3. TonTheoLo'!$H$5:$H$51,'3. TonTheoLo'!$D$5:$D$51,$A60)</f>
        <v>4</v>
      </c>
      <c r="G60" s="21">
        <f>SUMIFS('3. TonTheoLo'!$J$5:$J$51,'3. TonTheoLo'!$D$5:$D$51,$A60)</f>
        <v>13600000</v>
      </c>
      <c r="H60" s="43">
        <v>0</v>
      </c>
      <c r="I60" s="39">
        <f t="shared" si="1"/>
        <v>4</v>
      </c>
    </row>
    <row r="61" spans="1:9" x14ac:dyDescent="0.2">
      <c r="A61" s="4" t="s">
        <v>187</v>
      </c>
      <c r="B61" s="12" t="s">
        <v>65</v>
      </c>
      <c r="C61" s="13" t="s">
        <v>94</v>
      </c>
      <c r="D61" s="39">
        <f>SUMIFS('3. TonTheoLo'!$F$5:$F$51,'3. TonTheoLo'!$D$5:$D$51,$A61)</f>
        <v>0</v>
      </c>
      <c r="E61" s="39">
        <f>SUMIFS('3. TonTheoLo'!$G$5:$G$51,'3. TonTheoLo'!$D$5:$D$51,$A61)</f>
        <v>0</v>
      </c>
      <c r="F61" s="40">
        <f>SUMIFS('3. TonTheoLo'!$H$5:$H$51,'3. TonTheoLo'!$D$5:$D$51,$A61)</f>
        <v>0</v>
      </c>
      <c r="G61" s="21">
        <f>SUMIFS('3. TonTheoLo'!$J$5:$J$51,'3. TonTheoLo'!$D$5:$D$51,$A61)</f>
        <v>0</v>
      </c>
      <c r="H61" s="43">
        <v>0</v>
      </c>
      <c r="I61" s="39">
        <f t="shared" si="1"/>
        <v>0</v>
      </c>
    </row>
    <row r="62" spans="1:9" x14ac:dyDescent="0.2">
      <c r="A62" s="4" t="s">
        <v>189</v>
      </c>
      <c r="B62" s="12" t="s">
        <v>65</v>
      </c>
      <c r="C62" s="13" t="s">
        <v>74</v>
      </c>
      <c r="D62" s="39">
        <f>SUMIFS('3. TonTheoLo'!$F$5:$F$51,'3. TonTheoLo'!$D$5:$D$51,$A62)</f>
        <v>1</v>
      </c>
      <c r="E62" s="39">
        <f>SUMIFS('3. TonTheoLo'!$G$5:$G$51,'3. TonTheoLo'!$D$5:$D$51,$A62)</f>
        <v>0</v>
      </c>
      <c r="F62" s="40">
        <f>SUMIFS('3. TonTheoLo'!$H$5:$H$51,'3. TonTheoLo'!$D$5:$D$51,$A62)</f>
        <v>1</v>
      </c>
      <c r="G62" s="21">
        <f>SUMIFS('3. TonTheoLo'!$J$5:$J$51,'3. TonTheoLo'!$D$5:$D$51,$A62)</f>
        <v>8500000</v>
      </c>
      <c r="H62" s="43">
        <v>1</v>
      </c>
      <c r="I62" s="39">
        <f t="shared" si="1"/>
        <v>0</v>
      </c>
    </row>
    <row r="63" spans="1:9" x14ac:dyDescent="0.2">
      <c r="A63" s="4" t="s">
        <v>191</v>
      </c>
      <c r="B63" s="12" t="s">
        <v>65</v>
      </c>
      <c r="C63" s="13" t="s">
        <v>86</v>
      </c>
      <c r="D63" s="39">
        <f>SUMIFS('3. TonTheoLo'!$F$5:$F$51,'3. TonTheoLo'!$D$5:$D$51,$A63)</f>
        <v>2</v>
      </c>
      <c r="E63" s="39">
        <f>SUMIFS('3. TonTheoLo'!$G$5:$G$51,'3. TonTheoLo'!$D$5:$D$51,$A63)</f>
        <v>0</v>
      </c>
      <c r="F63" s="40">
        <f>SUMIFS('3. TonTheoLo'!$H$5:$H$51,'3. TonTheoLo'!$D$5:$D$51,$A63)</f>
        <v>2</v>
      </c>
      <c r="G63" s="21">
        <f>SUMIFS('3. TonTheoLo'!$J$5:$J$51,'3. TonTheoLo'!$D$5:$D$51,$A63)</f>
        <v>18000000</v>
      </c>
      <c r="H63" s="43">
        <v>0</v>
      </c>
      <c r="I63" s="39">
        <f t="shared" si="1"/>
        <v>2</v>
      </c>
    </row>
    <row r="64" spans="1:9" x14ac:dyDescent="0.2">
      <c r="A64" s="4" t="s">
        <v>192</v>
      </c>
      <c r="B64" s="12" t="s">
        <v>65</v>
      </c>
      <c r="C64" s="13" t="s">
        <v>70</v>
      </c>
      <c r="D64" s="39">
        <f>SUMIFS('3. TonTheoLo'!$F$5:$F$51,'3. TonTheoLo'!$D$5:$D$51,$A64)</f>
        <v>0</v>
      </c>
      <c r="E64" s="39">
        <f>SUMIFS('3. TonTheoLo'!$G$5:$G$51,'3. TonTheoLo'!$D$5:$D$51,$A64)</f>
        <v>0</v>
      </c>
      <c r="F64" s="40">
        <f>SUMIFS('3. TonTheoLo'!$H$5:$H$51,'3. TonTheoLo'!$D$5:$D$51,$A64)</f>
        <v>0</v>
      </c>
      <c r="G64" s="21">
        <f>SUMIFS('3. TonTheoLo'!$J$5:$J$51,'3. TonTheoLo'!$D$5:$D$51,$A64)</f>
        <v>0</v>
      </c>
      <c r="H64" s="43">
        <v>0</v>
      </c>
      <c r="I64" s="39">
        <f t="shared" si="1"/>
        <v>0</v>
      </c>
    </row>
    <row r="65" spans="1:9" x14ac:dyDescent="0.2">
      <c r="A65" s="4" t="s">
        <v>193</v>
      </c>
      <c r="B65" s="12" t="s">
        <v>65</v>
      </c>
      <c r="C65" s="13" t="s">
        <v>194</v>
      </c>
      <c r="D65" s="39">
        <f>SUMIFS('3. TonTheoLo'!$F$5:$F$51,'3. TonTheoLo'!$D$5:$D$51,$A65)</f>
        <v>0</v>
      </c>
      <c r="E65" s="39">
        <f>SUMIFS('3. TonTheoLo'!$G$5:$G$51,'3. TonTheoLo'!$D$5:$D$51,$A65)</f>
        <v>0</v>
      </c>
      <c r="F65" s="40">
        <f>SUMIFS('3. TonTheoLo'!$H$5:$H$51,'3. TonTheoLo'!$D$5:$D$51,$A65)</f>
        <v>0</v>
      </c>
      <c r="G65" s="21">
        <f>SUMIFS('3. TonTheoLo'!$J$5:$J$51,'3. TonTheoLo'!$D$5:$D$51,$A65)</f>
        <v>0</v>
      </c>
      <c r="H65" s="43">
        <v>0</v>
      </c>
      <c r="I65" s="39">
        <f t="shared" si="1"/>
        <v>0</v>
      </c>
    </row>
    <row r="66" spans="1:9" x14ac:dyDescent="0.2">
      <c r="A66" s="4" t="s">
        <v>195</v>
      </c>
      <c r="B66" s="12" t="s">
        <v>65</v>
      </c>
      <c r="C66" s="13"/>
      <c r="D66" s="39">
        <f>SUMIFS('3. TonTheoLo'!$F$5:$F$51,'3. TonTheoLo'!$D$5:$D$51,$A66)</f>
        <v>0</v>
      </c>
      <c r="E66" s="39">
        <f>SUMIFS('3. TonTheoLo'!$G$5:$G$51,'3. TonTheoLo'!$D$5:$D$51,$A66)</f>
        <v>0</v>
      </c>
      <c r="F66" s="40">
        <f>SUMIFS('3. TonTheoLo'!$H$5:$H$51,'3. TonTheoLo'!$D$5:$D$51,$A66)</f>
        <v>0</v>
      </c>
      <c r="G66" s="21">
        <f>SUMIFS('3. TonTheoLo'!$J$5:$J$51,'3. TonTheoLo'!$D$5:$D$51,$A66)</f>
        <v>0</v>
      </c>
      <c r="H66" s="43">
        <v>0</v>
      </c>
      <c r="I66" s="39">
        <f t="shared" si="1"/>
        <v>0</v>
      </c>
    </row>
    <row r="67" spans="1:9" x14ac:dyDescent="0.2">
      <c r="A67" s="4" t="s">
        <v>198</v>
      </c>
      <c r="B67" s="12" t="s">
        <v>65</v>
      </c>
      <c r="C67" s="13" t="s">
        <v>92</v>
      </c>
      <c r="D67" s="39">
        <f>SUMIFS('3. TonTheoLo'!$F$5:$F$51,'3. TonTheoLo'!$D$5:$D$51,$A67)</f>
        <v>3</v>
      </c>
      <c r="E67" s="39">
        <f>SUMIFS('3. TonTheoLo'!$G$5:$G$51,'3. TonTheoLo'!$D$5:$D$51,$A67)</f>
        <v>0</v>
      </c>
      <c r="F67" s="40">
        <f>SUMIFS('3. TonTheoLo'!$H$5:$H$51,'3. TonTheoLo'!$D$5:$D$51,$A67)</f>
        <v>3</v>
      </c>
      <c r="G67" s="21">
        <f>SUMIFS('3. TonTheoLo'!$J$5:$J$51,'3. TonTheoLo'!$D$5:$D$51,$A67)</f>
        <v>9600000</v>
      </c>
      <c r="H67" s="43">
        <v>0</v>
      </c>
      <c r="I67" s="39">
        <f t="shared" si="1"/>
        <v>3</v>
      </c>
    </row>
    <row r="68" spans="1:9" x14ac:dyDescent="0.2">
      <c r="A68" s="4" t="s">
        <v>200</v>
      </c>
      <c r="B68" s="12" t="s">
        <v>65</v>
      </c>
      <c r="C68" s="13" t="s">
        <v>94</v>
      </c>
      <c r="D68" s="39">
        <f>SUMIFS('3. TonTheoLo'!$F$5:$F$51,'3. TonTheoLo'!$D$5:$D$51,$A68)</f>
        <v>0</v>
      </c>
      <c r="E68" s="39">
        <f>SUMIFS('3. TonTheoLo'!$G$5:$G$51,'3. TonTheoLo'!$D$5:$D$51,$A68)</f>
        <v>0</v>
      </c>
      <c r="F68" s="40">
        <f>SUMIFS('3. TonTheoLo'!$H$5:$H$51,'3. TonTheoLo'!$D$5:$D$51,$A68)</f>
        <v>0</v>
      </c>
      <c r="G68" s="21">
        <f>SUMIFS('3. TonTheoLo'!$J$5:$J$51,'3. TonTheoLo'!$D$5:$D$51,$A68)</f>
        <v>0</v>
      </c>
      <c r="H68" s="43">
        <v>0</v>
      </c>
      <c r="I68" s="39">
        <f t="shared" si="1"/>
        <v>0</v>
      </c>
    </row>
    <row r="69" spans="1:9" x14ac:dyDescent="0.2">
      <c r="A69" s="4" t="s">
        <v>201</v>
      </c>
      <c r="B69" s="12" t="s">
        <v>65</v>
      </c>
      <c r="C69" s="13" t="s">
        <v>202</v>
      </c>
      <c r="D69" s="39">
        <f>SUMIFS('3. TonTheoLo'!$F$5:$F$51,'3. TonTheoLo'!$D$5:$D$51,$A69)</f>
        <v>0</v>
      </c>
      <c r="E69" s="39">
        <f>SUMIFS('3. TonTheoLo'!$G$5:$G$51,'3. TonTheoLo'!$D$5:$D$51,$A69)</f>
        <v>0</v>
      </c>
      <c r="F69" s="40">
        <f>SUMIFS('3. TonTheoLo'!$H$5:$H$51,'3. TonTheoLo'!$D$5:$D$51,$A69)</f>
        <v>0</v>
      </c>
      <c r="G69" s="21">
        <f>SUMIFS('3. TonTheoLo'!$J$5:$J$51,'3. TonTheoLo'!$D$5:$D$51,$A69)</f>
        <v>0</v>
      </c>
      <c r="H69" s="43">
        <v>0</v>
      </c>
      <c r="I69" s="39">
        <f t="shared" ref="I69:I100" si="2">F69-H69</f>
        <v>0</v>
      </c>
    </row>
    <row r="70" spans="1:9" x14ac:dyDescent="0.2">
      <c r="A70" s="4" t="s">
        <v>204</v>
      </c>
      <c r="B70" s="12" t="s">
        <v>65</v>
      </c>
      <c r="C70" s="13" t="s">
        <v>74</v>
      </c>
      <c r="D70" s="39">
        <f>SUMIFS('3. TonTheoLo'!$F$5:$F$51,'3. TonTheoLo'!$D$5:$D$51,$A70)</f>
        <v>12</v>
      </c>
      <c r="E70" s="39">
        <f>SUMIFS('3. TonTheoLo'!$G$5:$G$51,'3. TonTheoLo'!$D$5:$D$51,$A70)</f>
        <v>0</v>
      </c>
      <c r="F70" s="40">
        <f>SUMIFS('3. TonTheoLo'!$H$5:$H$51,'3. TonTheoLo'!$D$5:$D$51,$A70)</f>
        <v>12</v>
      </c>
      <c r="G70" s="21">
        <f>SUMIFS('3. TonTheoLo'!$J$5:$J$51,'3. TonTheoLo'!$D$5:$D$51,$A70)</f>
        <v>60000000</v>
      </c>
      <c r="H70" s="43">
        <v>6</v>
      </c>
      <c r="I70" s="39">
        <f t="shared" si="2"/>
        <v>6</v>
      </c>
    </row>
    <row r="71" spans="1:9" x14ac:dyDescent="0.2">
      <c r="A71" s="4" t="s">
        <v>206</v>
      </c>
      <c r="B71" s="12" t="s">
        <v>65</v>
      </c>
      <c r="C71" s="13" t="s">
        <v>86</v>
      </c>
      <c r="D71" s="39">
        <f>SUMIFS('3. TonTheoLo'!$F$5:$F$51,'3. TonTheoLo'!$D$5:$D$51,$A71)</f>
        <v>4</v>
      </c>
      <c r="E71" s="39">
        <f>SUMIFS('3. TonTheoLo'!$G$5:$G$51,'3. TonTheoLo'!$D$5:$D$51,$A71)</f>
        <v>0</v>
      </c>
      <c r="F71" s="40">
        <f>SUMIFS('3. TonTheoLo'!$H$5:$H$51,'3. TonTheoLo'!$D$5:$D$51,$A71)</f>
        <v>4</v>
      </c>
      <c r="G71" s="21">
        <f>SUMIFS('3. TonTheoLo'!$J$5:$J$51,'3. TonTheoLo'!$D$5:$D$51,$A71)</f>
        <v>24000000</v>
      </c>
      <c r="H71" s="43">
        <v>1</v>
      </c>
      <c r="I71" s="39">
        <f t="shared" si="2"/>
        <v>3</v>
      </c>
    </row>
    <row r="72" spans="1:9" x14ac:dyDescent="0.2">
      <c r="A72" s="4" t="s">
        <v>208</v>
      </c>
      <c r="B72" s="12" t="s">
        <v>65</v>
      </c>
      <c r="C72" s="13" t="s">
        <v>70</v>
      </c>
      <c r="D72" s="39">
        <f>SUMIFS('3. TonTheoLo'!$F$5:$F$51,'3. TonTheoLo'!$D$5:$D$51,$A72)</f>
        <v>0</v>
      </c>
      <c r="E72" s="39">
        <f>SUMIFS('3. TonTheoLo'!$G$5:$G$51,'3. TonTheoLo'!$D$5:$D$51,$A72)</f>
        <v>0</v>
      </c>
      <c r="F72" s="40">
        <f>SUMIFS('3. TonTheoLo'!$H$5:$H$51,'3. TonTheoLo'!$D$5:$D$51,$A72)</f>
        <v>0</v>
      </c>
      <c r="G72" s="21">
        <f>SUMIFS('3. TonTheoLo'!$J$5:$J$51,'3. TonTheoLo'!$D$5:$D$51,$A72)</f>
        <v>0</v>
      </c>
      <c r="H72" s="43">
        <v>0</v>
      </c>
      <c r="I72" s="39">
        <f t="shared" si="2"/>
        <v>0</v>
      </c>
    </row>
    <row r="73" spans="1:9" x14ac:dyDescent="0.2">
      <c r="A73" s="4" t="s">
        <v>210</v>
      </c>
      <c r="B73" s="12" t="s">
        <v>65</v>
      </c>
      <c r="C73" s="13" t="s">
        <v>74</v>
      </c>
      <c r="D73" s="39">
        <f>SUMIFS('3. TonTheoLo'!$F$5:$F$51,'3. TonTheoLo'!$D$5:$D$51,$A73)</f>
        <v>0</v>
      </c>
      <c r="E73" s="39">
        <f>SUMIFS('3. TonTheoLo'!$G$5:$G$51,'3. TonTheoLo'!$D$5:$D$51,$A73)</f>
        <v>0</v>
      </c>
      <c r="F73" s="40">
        <f>SUMIFS('3. TonTheoLo'!$H$5:$H$51,'3. TonTheoLo'!$D$5:$D$51,$A73)</f>
        <v>0</v>
      </c>
      <c r="G73" s="21">
        <f>SUMIFS('3. TonTheoLo'!$J$5:$J$51,'3. TonTheoLo'!$D$5:$D$51,$A73)</f>
        <v>0</v>
      </c>
      <c r="H73" s="43">
        <v>0</v>
      </c>
      <c r="I73" s="39">
        <f t="shared" si="2"/>
        <v>0</v>
      </c>
    </row>
    <row r="74" spans="1:9" x14ac:dyDescent="0.2">
      <c r="A74" s="4" t="s">
        <v>213</v>
      </c>
      <c r="B74" s="12" t="s">
        <v>65</v>
      </c>
      <c r="C74" s="13" t="s">
        <v>70</v>
      </c>
      <c r="D74" s="39">
        <f>SUMIFS('3. TonTheoLo'!$F$5:$F$51,'3. TonTheoLo'!$D$5:$D$51,$A74)</f>
        <v>0</v>
      </c>
      <c r="E74" s="39">
        <f>SUMIFS('3. TonTheoLo'!$G$5:$G$51,'3. TonTheoLo'!$D$5:$D$51,$A74)</f>
        <v>0</v>
      </c>
      <c r="F74" s="40">
        <f>SUMIFS('3. TonTheoLo'!$H$5:$H$51,'3. TonTheoLo'!$D$5:$D$51,$A74)</f>
        <v>0</v>
      </c>
      <c r="G74" s="21">
        <f>SUMIFS('3. TonTheoLo'!$J$5:$J$51,'3. TonTheoLo'!$D$5:$D$51,$A74)</f>
        <v>0</v>
      </c>
      <c r="H74" s="43">
        <v>0</v>
      </c>
      <c r="I74" s="39">
        <f t="shared" si="2"/>
        <v>0</v>
      </c>
    </row>
    <row r="75" spans="1:9" x14ac:dyDescent="0.2">
      <c r="A75" s="4" t="s">
        <v>215</v>
      </c>
      <c r="B75" s="12" t="s">
        <v>65</v>
      </c>
      <c r="C75" s="13" t="s">
        <v>86</v>
      </c>
      <c r="D75" s="39">
        <f>SUMIFS('3. TonTheoLo'!$F$5:$F$51,'3. TonTheoLo'!$D$5:$D$51,$A75)</f>
        <v>0</v>
      </c>
      <c r="E75" s="39">
        <f>SUMIFS('3. TonTheoLo'!$G$5:$G$51,'3. TonTheoLo'!$D$5:$D$51,$A75)</f>
        <v>0</v>
      </c>
      <c r="F75" s="40">
        <f>SUMIFS('3. TonTheoLo'!$H$5:$H$51,'3. TonTheoLo'!$D$5:$D$51,$A75)</f>
        <v>0</v>
      </c>
      <c r="G75" s="21">
        <f>SUMIFS('3. TonTheoLo'!$J$5:$J$51,'3. TonTheoLo'!$D$5:$D$51,$A75)</f>
        <v>0</v>
      </c>
      <c r="H75" s="43">
        <v>0</v>
      </c>
      <c r="I75" s="39">
        <f t="shared" si="2"/>
        <v>0</v>
      </c>
    </row>
    <row r="76" spans="1:9" x14ac:dyDescent="0.2">
      <c r="A76" s="4" t="s">
        <v>218</v>
      </c>
      <c r="B76" s="12" t="s">
        <v>65</v>
      </c>
      <c r="C76" s="13"/>
      <c r="D76" s="39">
        <f>SUMIFS('3. TonTheoLo'!$F$5:$F$51,'3. TonTheoLo'!$D$5:$D$51,$A76)</f>
        <v>0</v>
      </c>
      <c r="E76" s="39">
        <f>SUMIFS('3. TonTheoLo'!$G$5:$G$51,'3. TonTheoLo'!$D$5:$D$51,$A76)</f>
        <v>0</v>
      </c>
      <c r="F76" s="40">
        <f>SUMIFS('3. TonTheoLo'!$H$5:$H$51,'3. TonTheoLo'!$D$5:$D$51,$A76)</f>
        <v>0</v>
      </c>
      <c r="G76" s="21">
        <f>SUMIFS('3. TonTheoLo'!$J$5:$J$51,'3. TonTheoLo'!$D$5:$D$51,$A76)</f>
        <v>0</v>
      </c>
      <c r="H76" s="43">
        <v>0</v>
      </c>
      <c r="I76" s="39">
        <f t="shared" si="2"/>
        <v>0</v>
      </c>
    </row>
    <row r="77" spans="1:9" x14ac:dyDescent="0.2">
      <c r="A77" s="4" t="s">
        <v>221</v>
      </c>
      <c r="B77" s="12" t="s">
        <v>65</v>
      </c>
      <c r="C77" s="13" t="s">
        <v>92</v>
      </c>
      <c r="D77" s="39">
        <f>SUMIFS('3. TonTheoLo'!$F$5:$F$51,'3. TonTheoLo'!$D$5:$D$51,$A77)</f>
        <v>1</v>
      </c>
      <c r="E77" s="39">
        <f>SUMIFS('3. TonTheoLo'!$G$5:$G$51,'3. TonTheoLo'!$D$5:$D$51,$A77)</f>
        <v>0</v>
      </c>
      <c r="F77" s="40">
        <f>SUMIFS('3. TonTheoLo'!$H$5:$H$51,'3. TonTheoLo'!$D$5:$D$51,$A77)</f>
        <v>1</v>
      </c>
      <c r="G77" s="21">
        <f>SUMIFS('3. TonTheoLo'!$J$5:$J$51,'3. TonTheoLo'!$D$5:$D$51,$A77)</f>
        <v>3400000</v>
      </c>
      <c r="H77" s="43">
        <v>0</v>
      </c>
      <c r="I77" s="39">
        <f t="shared" si="2"/>
        <v>1</v>
      </c>
    </row>
    <row r="78" spans="1:9" x14ac:dyDescent="0.2">
      <c r="A78" s="4" t="s">
        <v>222</v>
      </c>
      <c r="B78" s="12" t="s">
        <v>65</v>
      </c>
      <c r="C78" s="13" t="s">
        <v>74</v>
      </c>
      <c r="D78" s="39">
        <f>SUMIFS('3. TonTheoLo'!$F$5:$F$51,'3. TonTheoLo'!$D$5:$D$51,$A78)</f>
        <v>3</v>
      </c>
      <c r="E78" s="39">
        <f>SUMIFS('3. TonTheoLo'!$G$5:$G$51,'3. TonTheoLo'!$D$5:$D$51,$A78)</f>
        <v>0</v>
      </c>
      <c r="F78" s="40">
        <f>SUMIFS('3. TonTheoLo'!$H$5:$H$51,'3. TonTheoLo'!$D$5:$D$51,$A78)</f>
        <v>3</v>
      </c>
      <c r="G78" s="21">
        <f>SUMIFS('3. TonTheoLo'!$J$5:$J$51,'3. TonTheoLo'!$D$5:$D$51,$A78)</f>
        <v>18000000</v>
      </c>
      <c r="H78" s="43">
        <v>0</v>
      </c>
      <c r="I78" s="39">
        <f t="shared" si="2"/>
        <v>3</v>
      </c>
    </row>
    <row r="79" spans="1:9" x14ac:dyDescent="0.2">
      <c r="A79" s="4" t="s">
        <v>224</v>
      </c>
      <c r="B79" s="12" t="s">
        <v>65</v>
      </c>
      <c r="C79" s="13" t="s">
        <v>86</v>
      </c>
      <c r="D79" s="39">
        <f>SUMIFS('3. TonTheoLo'!$F$5:$F$51,'3. TonTheoLo'!$D$5:$D$51,$A79)</f>
        <v>2</v>
      </c>
      <c r="E79" s="39">
        <f>SUMIFS('3. TonTheoLo'!$G$5:$G$51,'3. TonTheoLo'!$D$5:$D$51,$A79)</f>
        <v>0</v>
      </c>
      <c r="F79" s="40">
        <f>SUMIFS('3. TonTheoLo'!$H$5:$H$51,'3. TonTheoLo'!$D$5:$D$51,$A79)</f>
        <v>2</v>
      </c>
      <c r="G79" s="21">
        <f>SUMIFS('3. TonTheoLo'!$J$5:$J$51,'3. TonTheoLo'!$D$5:$D$51,$A79)</f>
        <v>14000000</v>
      </c>
      <c r="H79" s="43">
        <v>1</v>
      </c>
      <c r="I79" s="39">
        <f t="shared" si="2"/>
        <v>1</v>
      </c>
    </row>
    <row r="80" spans="1:9" x14ac:dyDescent="0.2">
      <c r="A80" s="4" t="s">
        <v>226</v>
      </c>
      <c r="B80" s="12" t="s">
        <v>65</v>
      </c>
      <c r="C80" s="13" t="s">
        <v>100</v>
      </c>
      <c r="D80" s="39">
        <f>SUMIFS('3. TonTheoLo'!$F$5:$F$51,'3. TonTheoLo'!$D$5:$D$51,$A80)</f>
        <v>1</v>
      </c>
      <c r="E80" s="39">
        <f>SUMIFS('3. TonTheoLo'!$G$5:$G$51,'3. TonTheoLo'!$D$5:$D$51,$A80)</f>
        <v>0</v>
      </c>
      <c r="F80" s="40">
        <f>SUMIFS('3. TonTheoLo'!$H$5:$H$51,'3. TonTheoLo'!$D$5:$D$51,$A80)</f>
        <v>1</v>
      </c>
      <c r="G80" s="21">
        <f>SUMIFS('3. TonTheoLo'!$J$5:$J$51,'3. TonTheoLo'!$D$5:$D$51,$A80)</f>
        <v>12000000</v>
      </c>
      <c r="H80" s="43">
        <v>0</v>
      </c>
      <c r="I80" s="39">
        <f t="shared" si="2"/>
        <v>1</v>
      </c>
    </row>
    <row r="81" spans="1:9" x14ac:dyDescent="0.2">
      <c r="A81" s="4" t="s">
        <v>228</v>
      </c>
      <c r="B81" s="12" t="s">
        <v>65</v>
      </c>
      <c r="C81" s="13" t="s">
        <v>70</v>
      </c>
      <c r="D81" s="39">
        <f>SUMIFS('3. TonTheoLo'!$F$5:$F$51,'3. TonTheoLo'!$D$5:$D$51,$A81)</f>
        <v>0</v>
      </c>
      <c r="E81" s="39">
        <f>SUMIFS('3. TonTheoLo'!$G$5:$G$51,'3. TonTheoLo'!$D$5:$D$51,$A81)</f>
        <v>0</v>
      </c>
      <c r="F81" s="40">
        <f>SUMIFS('3. TonTheoLo'!$H$5:$H$51,'3. TonTheoLo'!$D$5:$D$51,$A81)</f>
        <v>0</v>
      </c>
      <c r="G81" s="21">
        <f>SUMIFS('3. TonTheoLo'!$J$5:$J$51,'3. TonTheoLo'!$D$5:$D$51,$A81)</f>
        <v>0</v>
      </c>
      <c r="H81" s="43">
        <v>0</v>
      </c>
      <c r="I81" s="39">
        <f t="shared" si="2"/>
        <v>0</v>
      </c>
    </row>
    <row r="82" spans="1:9" x14ac:dyDescent="0.2">
      <c r="A82" s="4" t="s">
        <v>230</v>
      </c>
      <c r="B82" s="12" t="s">
        <v>65</v>
      </c>
      <c r="C82" s="13" t="s">
        <v>231</v>
      </c>
      <c r="D82" s="39">
        <f>SUMIFS('3. TonTheoLo'!$F$5:$F$51,'3. TonTheoLo'!$D$5:$D$51,$A82)</f>
        <v>0</v>
      </c>
      <c r="E82" s="39">
        <f>SUMIFS('3. TonTheoLo'!$G$5:$G$51,'3. TonTheoLo'!$D$5:$D$51,$A82)</f>
        <v>0</v>
      </c>
      <c r="F82" s="40">
        <f>SUMIFS('3. TonTheoLo'!$H$5:$H$51,'3. TonTheoLo'!$D$5:$D$51,$A82)</f>
        <v>0</v>
      </c>
      <c r="G82" s="21">
        <f>SUMIFS('3. TonTheoLo'!$J$5:$J$51,'3. TonTheoLo'!$D$5:$D$51,$A82)</f>
        <v>0</v>
      </c>
      <c r="H82" s="43">
        <v>0</v>
      </c>
      <c r="I82" s="39">
        <f t="shared" si="2"/>
        <v>0</v>
      </c>
    </row>
    <row r="83" spans="1:9" x14ac:dyDescent="0.2">
      <c r="A83" s="4" t="s">
        <v>233</v>
      </c>
      <c r="B83" s="12" t="s">
        <v>65</v>
      </c>
      <c r="C83" s="13" t="s">
        <v>105</v>
      </c>
      <c r="D83" s="39">
        <f>SUMIFS('3. TonTheoLo'!$F$5:$F$51,'3. TonTheoLo'!$D$5:$D$51,$A83)</f>
        <v>0</v>
      </c>
      <c r="E83" s="39">
        <f>SUMIFS('3. TonTheoLo'!$G$5:$G$51,'3. TonTheoLo'!$D$5:$D$51,$A83)</f>
        <v>0</v>
      </c>
      <c r="F83" s="40">
        <f>SUMIFS('3. TonTheoLo'!$H$5:$H$51,'3. TonTheoLo'!$D$5:$D$51,$A83)</f>
        <v>0</v>
      </c>
      <c r="G83" s="21">
        <f>SUMIFS('3. TonTheoLo'!$J$5:$J$51,'3. TonTheoLo'!$D$5:$D$51,$A83)</f>
        <v>0</v>
      </c>
      <c r="H83" s="43">
        <v>0</v>
      </c>
      <c r="I83" s="39">
        <f t="shared" si="2"/>
        <v>0</v>
      </c>
    </row>
    <row r="84" spans="1:9" x14ac:dyDescent="0.2">
      <c r="A84" s="4" t="s">
        <v>235</v>
      </c>
      <c r="B84" s="12" t="s">
        <v>65</v>
      </c>
      <c r="C84" s="13"/>
      <c r="D84" s="39">
        <f>SUMIFS('3. TonTheoLo'!$F$5:$F$51,'3. TonTheoLo'!$D$5:$D$51,$A84)</f>
        <v>0</v>
      </c>
      <c r="E84" s="39">
        <f>SUMIFS('3. TonTheoLo'!$G$5:$G$51,'3. TonTheoLo'!$D$5:$D$51,$A84)</f>
        <v>0</v>
      </c>
      <c r="F84" s="40">
        <f>SUMIFS('3. TonTheoLo'!$H$5:$H$51,'3. TonTheoLo'!$D$5:$D$51,$A84)</f>
        <v>0</v>
      </c>
      <c r="G84" s="21">
        <f>SUMIFS('3. TonTheoLo'!$J$5:$J$51,'3. TonTheoLo'!$D$5:$D$51,$A84)</f>
        <v>0</v>
      </c>
      <c r="H84" s="43">
        <v>0</v>
      </c>
      <c r="I84" s="39">
        <f t="shared" si="2"/>
        <v>0</v>
      </c>
    </row>
    <row r="85" spans="1:9" x14ac:dyDescent="0.2">
      <c r="A85" s="4" t="s">
        <v>238</v>
      </c>
      <c r="B85" s="12" t="s">
        <v>65</v>
      </c>
      <c r="C85" s="13" t="s">
        <v>92</v>
      </c>
      <c r="D85" s="39">
        <f>SUMIFS('3. TonTheoLo'!$F$5:$F$51,'3. TonTheoLo'!$D$5:$D$51,$A85)</f>
        <v>3</v>
      </c>
      <c r="E85" s="39">
        <f>SUMIFS('3. TonTheoLo'!$G$5:$G$51,'3. TonTheoLo'!$D$5:$D$51,$A85)</f>
        <v>0</v>
      </c>
      <c r="F85" s="40">
        <f>SUMIFS('3. TonTheoLo'!$H$5:$H$51,'3. TonTheoLo'!$D$5:$D$51,$A85)</f>
        <v>3</v>
      </c>
      <c r="G85" s="21">
        <f>SUMIFS('3. TonTheoLo'!$J$5:$J$51,'3. TonTheoLo'!$D$5:$D$51,$A85)</f>
        <v>14400000</v>
      </c>
      <c r="H85" s="43">
        <v>0</v>
      </c>
      <c r="I85" s="39">
        <f t="shared" si="2"/>
        <v>3</v>
      </c>
    </row>
    <row r="86" spans="1:9" x14ac:dyDescent="0.2">
      <c r="A86" s="4" t="s">
        <v>240</v>
      </c>
      <c r="B86" s="12" t="s">
        <v>65</v>
      </c>
      <c r="C86" s="13" t="s">
        <v>74</v>
      </c>
      <c r="D86" s="39">
        <f>SUMIFS('3. TonTheoLo'!$F$5:$F$51,'3. TonTheoLo'!$D$5:$D$51,$A86)</f>
        <v>27</v>
      </c>
      <c r="E86" s="39">
        <f>SUMIFS('3. TonTheoLo'!$G$5:$G$51,'3. TonTheoLo'!$D$5:$D$51,$A86)</f>
        <v>0</v>
      </c>
      <c r="F86" s="40">
        <f>SUMIFS('3. TonTheoLo'!$H$5:$H$51,'3. TonTheoLo'!$D$5:$D$51,$A86)</f>
        <v>27</v>
      </c>
      <c r="G86" s="21">
        <f>SUMIFS('3. TonTheoLo'!$J$5:$J$51,'3. TonTheoLo'!$D$5:$D$51,$A86)</f>
        <v>189000000</v>
      </c>
      <c r="H86" s="43">
        <v>3</v>
      </c>
      <c r="I86" s="39">
        <f t="shared" si="2"/>
        <v>24</v>
      </c>
    </row>
    <row r="87" spans="1:9" x14ac:dyDescent="0.2">
      <c r="A87" s="4" t="s">
        <v>242</v>
      </c>
      <c r="B87" s="12" t="s">
        <v>65</v>
      </c>
      <c r="C87" s="13" t="s">
        <v>86</v>
      </c>
      <c r="D87" s="39">
        <f>SUMIFS('3. TonTheoLo'!$F$5:$F$51,'3. TonTheoLo'!$D$5:$D$51,$A87)</f>
        <v>7</v>
      </c>
      <c r="E87" s="39">
        <f>SUMIFS('3. TonTheoLo'!$G$5:$G$51,'3. TonTheoLo'!$D$5:$D$51,$A87)</f>
        <v>0</v>
      </c>
      <c r="F87" s="40">
        <f>SUMIFS('3. TonTheoLo'!$H$5:$H$51,'3. TonTheoLo'!$D$5:$D$51,$A87)</f>
        <v>7</v>
      </c>
      <c r="G87" s="21">
        <f>SUMIFS('3. TonTheoLo'!$J$5:$J$51,'3. TonTheoLo'!$D$5:$D$51,$A87)</f>
        <v>59500000</v>
      </c>
      <c r="H87" s="43">
        <v>2</v>
      </c>
      <c r="I87" s="39">
        <f t="shared" si="2"/>
        <v>5</v>
      </c>
    </row>
    <row r="88" spans="1:9" x14ac:dyDescent="0.2">
      <c r="A88" s="4" t="s">
        <v>244</v>
      </c>
      <c r="B88" s="12" t="s">
        <v>65</v>
      </c>
      <c r="C88" s="13" t="s">
        <v>100</v>
      </c>
      <c r="D88" s="39">
        <f>SUMIFS('3. TonTheoLo'!$F$5:$F$51,'3. TonTheoLo'!$D$5:$D$51,$A88)</f>
        <v>0</v>
      </c>
      <c r="E88" s="39">
        <f>SUMIFS('3. TonTheoLo'!$G$5:$G$51,'3. TonTheoLo'!$D$5:$D$51,$A88)</f>
        <v>0</v>
      </c>
      <c r="F88" s="40">
        <f>SUMIFS('3. TonTheoLo'!$H$5:$H$51,'3. TonTheoLo'!$D$5:$D$51,$A88)</f>
        <v>0</v>
      </c>
      <c r="G88" s="21">
        <f>SUMIFS('3. TonTheoLo'!$J$5:$J$51,'3. TonTheoLo'!$D$5:$D$51,$A88)</f>
        <v>0</v>
      </c>
      <c r="H88" s="43">
        <v>0</v>
      </c>
      <c r="I88" s="39">
        <f t="shared" si="2"/>
        <v>0</v>
      </c>
    </row>
    <row r="89" spans="1:9" x14ac:dyDescent="0.2">
      <c r="A89" s="4" t="s">
        <v>245</v>
      </c>
      <c r="B89" s="12" t="s">
        <v>65</v>
      </c>
      <c r="C89" s="13" t="s">
        <v>70</v>
      </c>
      <c r="D89" s="39">
        <f>SUMIFS('3. TonTheoLo'!$F$5:$F$51,'3. TonTheoLo'!$D$5:$D$51,$A89)</f>
        <v>0</v>
      </c>
      <c r="E89" s="39">
        <f>SUMIFS('3. TonTheoLo'!$G$5:$G$51,'3. TonTheoLo'!$D$5:$D$51,$A89)</f>
        <v>0</v>
      </c>
      <c r="F89" s="40">
        <f>SUMIFS('3. TonTheoLo'!$H$5:$H$51,'3. TonTheoLo'!$D$5:$D$51,$A89)</f>
        <v>0</v>
      </c>
      <c r="G89" s="21">
        <f>SUMIFS('3. TonTheoLo'!$J$5:$J$51,'3. TonTheoLo'!$D$5:$D$51,$A89)</f>
        <v>0</v>
      </c>
      <c r="H89" s="43">
        <v>0</v>
      </c>
      <c r="I89" s="39">
        <f t="shared" si="2"/>
        <v>0</v>
      </c>
    </row>
    <row r="90" spans="1:9" x14ac:dyDescent="0.2">
      <c r="A90" s="4" t="s">
        <v>247</v>
      </c>
      <c r="B90" s="12" t="s">
        <v>65</v>
      </c>
      <c r="C90" s="13" t="s">
        <v>231</v>
      </c>
      <c r="D90" s="39">
        <f>SUMIFS('3. TonTheoLo'!$F$5:$F$51,'3. TonTheoLo'!$D$5:$D$51,$A90)</f>
        <v>0</v>
      </c>
      <c r="E90" s="39">
        <f>SUMIFS('3. TonTheoLo'!$G$5:$G$51,'3. TonTheoLo'!$D$5:$D$51,$A90)</f>
        <v>0</v>
      </c>
      <c r="F90" s="40">
        <f>SUMIFS('3. TonTheoLo'!$H$5:$H$51,'3. TonTheoLo'!$D$5:$D$51,$A90)</f>
        <v>0</v>
      </c>
      <c r="G90" s="21">
        <f>SUMIFS('3. TonTheoLo'!$J$5:$J$51,'3. TonTheoLo'!$D$5:$D$51,$A90)</f>
        <v>0</v>
      </c>
      <c r="H90" s="43">
        <v>0</v>
      </c>
      <c r="I90" s="39">
        <f t="shared" si="2"/>
        <v>0</v>
      </c>
    </row>
    <row r="91" spans="1:9" x14ac:dyDescent="0.2">
      <c r="A91" s="4" t="s">
        <v>249</v>
      </c>
      <c r="B91" s="12" t="s">
        <v>65</v>
      </c>
      <c r="C91" s="13" t="s">
        <v>194</v>
      </c>
      <c r="D91" s="39">
        <f>SUMIFS('3. TonTheoLo'!$F$5:$F$51,'3. TonTheoLo'!$D$5:$D$51,$A91)</f>
        <v>0</v>
      </c>
      <c r="E91" s="39">
        <f>SUMIFS('3. TonTheoLo'!$G$5:$G$51,'3. TonTheoLo'!$D$5:$D$51,$A91)</f>
        <v>0</v>
      </c>
      <c r="F91" s="40">
        <f>SUMIFS('3. TonTheoLo'!$H$5:$H$51,'3. TonTheoLo'!$D$5:$D$51,$A91)</f>
        <v>0</v>
      </c>
      <c r="G91" s="21">
        <f>SUMIFS('3. TonTheoLo'!$J$5:$J$51,'3. TonTheoLo'!$D$5:$D$51,$A91)</f>
        <v>0</v>
      </c>
      <c r="H91" s="43">
        <v>0</v>
      </c>
      <c r="I91" s="39">
        <f t="shared" si="2"/>
        <v>0</v>
      </c>
    </row>
    <row r="92" spans="1:9" x14ac:dyDescent="0.2">
      <c r="A92" s="4" t="s">
        <v>250</v>
      </c>
      <c r="B92" s="12" t="s">
        <v>65</v>
      </c>
      <c r="C92" s="13" t="s">
        <v>86</v>
      </c>
      <c r="D92" s="39">
        <f>SUMIFS('3. TonTheoLo'!$F$5:$F$51,'3. TonTheoLo'!$D$5:$D$51,$A92)</f>
        <v>0</v>
      </c>
      <c r="E92" s="39">
        <f>SUMIFS('3. TonTheoLo'!$G$5:$G$51,'3. TonTheoLo'!$D$5:$D$51,$A92)</f>
        <v>0</v>
      </c>
      <c r="F92" s="40">
        <f>SUMIFS('3. TonTheoLo'!$H$5:$H$51,'3. TonTheoLo'!$D$5:$D$51,$A92)</f>
        <v>0</v>
      </c>
      <c r="G92" s="21">
        <f>SUMIFS('3. TonTheoLo'!$J$5:$J$51,'3. TonTheoLo'!$D$5:$D$51,$A92)</f>
        <v>0</v>
      </c>
      <c r="H92" s="43">
        <v>2</v>
      </c>
      <c r="I92" s="39">
        <f t="shared" si="2"/>
        <v>-2</v>
      </c>
    </row>
    <row r="93" spans="1:9" x14ac:dyDescent="0.2">
      <c r="A93" s="4" t="s">
        <v>253</v>
      </c>
      <c r="B93" s="12" t="s">
        <v>65</v>
      </c>
      <c r="C93" s="13" t="s">
        <v>74</v>
      </c>
      <c r="D93" s="39">
        <f>SUMIFS('3. TonTheoLo'!$F$5:$F$51,'3. TonTheoLo'!$D$5:$D$51,$A93)</f>
        <v>0</v>
      </c>
      <c r="E93" s="39">
        <f>SUMIFS('3. TonTheoLo'!$G$5:$G$51,'3. TonTheoLo'!$D$5:$D$51,$A93)</f>
        <v>0</v>
      </c>
      <c r="F93" s="40">
        <f>SUMIFS('3. TonTheoLo'!$H$5:$H$51,'3. TonTheoLo'!$D$5:$D$51,$A93)</f>
        <v>0</v>
      </c>
      <c r="G93" s="21">
        <f>SUMIFS('3. TonTheoLo'!$J$5:$J$51,'3. TonTheoLo'!$D$5:$D$51,$A93)</f>
        <v>0</v>
      </c>
      <c r="H93" s="43">
        <v>0</v>
      </c>
      <c r="I93" s="39">
        <f t="shared" si="2"/>
        <v>0</v>
      </c>
    </row>
    <row r="94" spans="1:9" x14ac:dyDescent="0.2">
      <c r="A94" s="4" t="s">
        <v>256</v>
      </c>
      <c r="B94" s="12" t="s">
        <v>65</v>
      </c>
      <c r="C94" s="13"/>
      <c r="D94" s="39">
        <f>SUMIFS('3. TonTheoLo'!$F$5:$F$51,'3. TonTheoLo'!$D$5:$D$51,$A94)</f>
        <v>0</v>
      </c>
      <c r="E94" s="39">
        <f>SUMIFS('3. TonTheoLo'!$G$5:$G$51,'3. TonTheoLo'!$D$5:$D$51,$A94)</f>
        <v>0</v>
      </c>
      <c r="F94" s="40">
        <f>SUMIFS('3. TonTheoLo'!$H$5:$H$51,'3. TonTheoLo'!$D$5:$D$51,$A94)</f>
        <v>0</v>
      </c>
      <c r="G94" s="21">
        <f>SUMIFS('3. TonTheoLo'!$J$5:$J$51,'3. TonTheoLo'!$D$5:$D$51,$A94)</f>
        <v>0</v>
      </c>
      <c r="H94" s="43">
        <v>0</v>
      </c>
      <c r="I94" s="39">
        <f t="shared" si="2"/>
        <v>0</v>
      </c>
    </row>
    <row r="95" spans="1:9" x14ac:dyDescent="0.2">
      <c r="A95" s="4" t="s">
        <v>259</v>
      </c>
      <c r="B95" s="12" t="s">
        <v>260</v>
      </c>
      <c r="C95" s="13"/>
      <c r="D95" s="39">
        <f>SUMIFS('3. TonTheoLo'!$F$5:$F$51,'3. TonTheoLo'!$D$5:$D$51,$A95)</f>
        <v>0</v>
      </c>
      <c r="E95" s="39">
        <f>SUMIFS('3. TonTheoLo'!$G$5:$G$51,'3. TonTheoLo'!$D$5:$D$51,$A95)</f>
        <v>0</v>
      </c>
      <c r="F95" s="40">
        <f>SUMIFS('3. TonTheoLo'!$H$5:$H$51,'3. TonTheoLo'!$D$5:$D$51,$A95)</f>
        <v>0</v>
      </c>
      <c r="G95" s="21">
        <f>SUMIFS('3. TonTheoLo'!$J$5:$J$51,'3. TonTheoLo'!$D$5:$D$51,$A95)</f>
        <v>0</v>
      </c>
      <c r="H95" s="43">
        <v>0</v>
      </c>
      <c r="I95" s="39">
        <f t="shared" si="2"/>
        <v>0</v>
      </c>
    </row>
    <row r="96" spans="1:9" x14ac:dyDescent="0.2">
      <c r="A96" s="4" t="s">
        <v>262</v>
      </c>
      <c r="B96" s="12" t="s">
        <v>263</v>
      </c>
      <c r="C96" s="13" t="s">
        <v>92</v>
      </c>
      <c r="D96" s="39">
        <f>SUMIFS('3. TonTheoLo'!$F$5:$F$51,'3. TonTheoLo'!$D$5:$D$51,$A96)</f>
        <v>0</v>
      </c>
      <c r="E96" s="39">
        <f>SUMIFS('3. TonTheoLo'!$G$5:$G$51,'3. TonTheoLo'!$D$5:$D$51,$A96)</f>
        <v>0</v>
      </c>
      <c r="F96" s="40">
        <f>SUMIFS('3. TonTheoLo'!$H$5:$H$51,'3. TonTheoLo'!$D$5:$D$51,$A96)</f>
        <v>0</v>
      </c>
      <c r="G96" s="21">
        <f>SUMIFS('3. TonTheoLo'!$J$5:$J$51,'3. TonTheoLo'!$D$5:$D$51,$A96)</f>
        <v>0</v>
      </c>
      <c r="H96" s="43">
        <v>34</v>
      </c>
      <c r="I96" s="39">
        <f t="shared" si="2"/>
        <v>-34</v>
      </c>
    </row>
    <row r="97" spans="1:9" x14ac:dyDescent="0.2">
      <c r="A97" s="4" t="s">
        <v>265</v>
      </c>
      <c r="B97" s="12" t="s">
        <v>263</v>
      </c>
      <c r="C97" s="13" t="s">
        <v>74</v>
      </c>
      <c r="D97" s="39">
        <f>SUMIFS('3. TonTheoLo'!$F$5:$F$51,'3. TonTheoLo'!$D$5:$D$51,$A97)</f>
        <v>0</v>
      </c>
      <c r="E97" s="39">
        <f>SUMIFS('3. TonTheoLo'!$G$5:$G$51,'3. TonTheoLo'!$D$5:$D$51,$A97)</f>
        <v>0</v>
      </c>
      <c r="F97" s="40">
        <f>SUMIFS('3. TonTheoLo'!$H$5:$H$51,'3. TonTheoLo'!$D$5:$D$51,$A97)</f>
        <v>0</v>
      </c>
      <c r="G97" s="21">
        <f>SUMIFS('3. TonTheoLo'!$J$5:$J$51,'3. TonTheoLo'!$D$5:$D$51,$A97)</f>
        <v>0</v>
      </c>
      <c r="H97" s="43">
        <v>0</v>
      </c>
      <c r="I97" s="39">
        <f t="shared" si="2"/>
        <v>0</v>
      </c>
    </row>
    <row r="98" spans="1:9" x14ac:dyDescent="0.2">
      <c r="A98" s="4" t="s">
        <v>267</v>
      </c>
      <c r="B98" s="12" t="s">
        <v>263</v>
      </c>
      <c r="C98" s="13" t="s">
        <v>86</v>
      </c>
      <c r="D98" s="39">
        <f>SUMIFS('3. TonTheoLo'!$F$5:$F$51,'3. TonTheoLo'!$D$5:$D$51,$A98)</f>
        <v>0</v>
      </c>
      <c r="E98" s="39">
        <f>SUMIFS('3. TonTheoLo'!$G$5:$G$51,'3. TonTheoLo'!$D$5:$D$51,$A98)</f>
        <v>0</v>
      </c>
      <c r="F98" s="40">
        <f>SUMIFS('3. TonTheoLo'!$H$5:$H$51,'3. TonTheoLo'!$D$5:$D$51,$A98)</f>
        <v>0</v>
      </c>
      <c r="G98" s="21">
        <f>SUMIFS('3. TonTheoLo'!$J$5:$J$51,'3. TonTheoLo'!$D$5:$D$51,$A98)</f>
        <v>0</v>
      </c>
      <c r="H98" s="43">
        <v>3</v>
      </c>
      <c r="I98" s="39">
        <f t="shared" si="2"/>
        <v>-3</v>
      </c>
    </row>
    <row r="99" spans="1:9" x14ac:dyDescent="0.2">
      <c r="A99" s="4" t="s">
        <v>269</v>
      </c>
      <c r="B99" s="12" t="s">
        <v>263</v>
      </c>
      <c r="C99" s="13" t="s">
        <v>100</v>
      </c>
      <c r="D99" s="39">
        <f>SUMIFS('3. TonTheoLo'!$F$5:$F$51,'3. TonTheoLo'!$D$5:$D$51,$A99)</f>
        <v>0</v>
      </c>
      <c r="E99" s="39">
        <f>SUMIFS('3. TonTheoLo'!$G$5:$G$51,'3. TonTheoLo'!$D$5:$D$51,$A99)</f>
        <v>0</v>
      </c>
      <c r="F99" s="40">
        <f>SUMIFS('3. TonTheoLo'!$H$5:$H$51,'3. TonTheoLo'!$D$5:$D$51,$A99)</f>
        <v>0</v>
      </c>
      <c r="G99" s="21">
        <f>SUMIFS('3. TonTheoLo'!$J$5:$J$51,'3. TonTheoLo'!$D$5:$D$51,$A99)</f>
        <v>0</v>
      </c>
      <c r="H99" s="43">
        <v>1</v>
      </c>
      <c r="I99" s="39">
        <f t="shared" si="2"/>
        <v>-1</v>
      </c>
    </row>
    <row r="100" spans="1:9" x14ac:dyDescent="0.2">
      <c r="A100" s="4" t="s">
        <v>271</v>
      </c>
      <c r="B100" s="12" t="s">
        <v>263</v>
      </c>
      <c r="C100" s="13" t="s">
        <v>142</v>
      </c>
      <c r="D100" s="39">
        <f>SUMIFS('3. TonTheoLo'!$F$5:$F$51,'3. TonTheoLo'!$D$5:$D$51,$A100)</f>
        <v>0</v>
      </c>
      <c r="E100" s="39">
        <f>SUMIFS('3. TonTheoLo'!$G$5:$G$51,'3. TonTheoLo'!$D$5:$D$51,$A100)</f>
        <v>0</v>
      </c>
      <c r="F100" s="40">
        <f>SUMIFS('3. TonTheoLo'!$H$5:$H$51,'3. TonTheoLo'!$D$5:$D$51,$A100)</f>
        <v>0</v>
      </c>
      <c r="G100" s="21">
        <f>SUMIFS('3. TonTheoLo'!$J$5:$J$51,'3. TonTheoLo'!$D$5:$D$51,$A100)</f>
        <v>0</v>
      </c>
      <c r="H100" s="43">
        <v>1</v>
      </c>
      <c r="I100" s="39">
        <f t="shared" si="2"/>
        <v>-1</v>
      </c>
    </row>
    <row r="101" spans="1:9" x14ac:dyDescent="0.2">
      <c r="A101" s="4" t="s">
        <v>272</v>
      </c>
      <c r="B101" s="12" t="s">
        <v>263</v>
      </c>
      <c r="C101" s="13" t="s">
        <v>70</v>
      </c>
      <c r="D101" s="39">
        <f>SUMIFS('3. TonTheoLo'!$F$5:$F$51,'3. TonTheoLo'!$D$5:$D$51,$A101)</f>
        <v>0</v>
      </c>
      <c r="E101" s="39">
        <f>SUMIFS('3. TonTheoLo'!$G$5:$G$51,'3. TonTheoLo'!$D$5:$D$51,$A101)</f>
        <v>0</v>
      </c>
      <c r="F101" s="40">
        <f>SUMIFS('3. TonTheoLo'!$H$5:$H$51,'3. TonTheoLo'!$D$5:$D$51,$A101)</f>
        <v>0</v>
      </c>
      <c r="G101" s="21">
        <f>SUMIFS('3. TonTheoLo'!$J$5:$J$51,'3. TonTheoLo'!$D$5:$D$51,$A101)</f>
        <v>0</v>
      </c>
      <c r="H101" s="43">
        <v>0</v>
      </c>
      <c r="I101" s="39">
        <f t="shared" ref="I101:I132" si="3">F101-H101</f>
        <v>0</v>
      </c>
    </row>
    <row r="102" spans="1:9" x14ac:dyDescent="0.2">
      <c r="A102" s="4" t="s">
        <v>274</v>
      </c>
      <c r="B102" s="12" t="s">
        <v>263</v>
      </c>
      <c r="C102" s="13" t="s">
        <v>231</v>
      </c>
      <c r="D102" s="39">
        <f>SUMIFS('3. TonTheoLo'!$F$5:$F$51,'3. TonTheoLo'!$D$5:$D$51,$A102)</f>
        <v>0</v>
      </c>
      <c r="E102" s="39">
        <f>SUMIFS('3. TonTheoLo'!$G$5:$G$51,'3. TonTheoLo'!$D$5:$D$51,$A102)</f>
        <v>0</v>
      </c>
      <c r="F102" s="40">
        <f>SUMIFS('3. TonTheoLo'!$H$5:$H$51,'3. TonTheoLo'!$D$5:$D$51,$A102)</f>
        <v>0</v>
      </c>
      <c r="G102" s="21">
        <f>SUMIFS('3. TonTheoLo'!$J$5:$J$51,'3. TonTheoLo'!$D$5:$D$51,$A102)</f>
        <v>0</v>
      </c>
      <c r="H102" s="43">
        <v>0</v>
      </c>
      <c r="I102" s="39">
        <f t="shared" si="3"/>
        <v>0</v>
      </c>
    </row>
    <row r="103" spans="1:9" x14ac:dyDescent="0.2">
      <c r="A103" s="4" t="s">
        <v>276</v>
      </c>
      <c r="B103" s="12" t="s">
        <v>263</v>
      </c>
      <c r="C103" s="13"/>
      <c r="D103" s="39">
        <f>SUMIFS('3. TonTheoLo'!$F$5:$F$51,'3. TonTheoLo'!$D$5:$D$51,$A103)</f>
        <v>0</v>
      </c>
      <c r="E103" s="39">
        <f>SUMIFS('3. TonTheoLo'!$G$5:$G$51,'3. TonTheoLo'!$D$5:$D$51,$A103)</f>
        <v>0</v>
      </c>
      <c r="F103" s="40">
        <f>SUMIFS('3. TonTheoLo'!$H$5:$H$51,'3. TonTheoLo'!$D$5:$D$51,$A103)</f>
        <v>0</v>
      </c>
      <c r="G103" s="21">
        <f>SUMIFS('3. TonTheoLo'!$J$5:$J$51,'3. TonTheoLo'!$D$5:$D$51,$A103)</f>
        <v>0</v>
      </c>
      <c r="H103" s="43">
        <v>6</v>
      </c>
      <c r="I103" s="39">
        <f t="shared" si="3"/>
        <v>-6</v>
      </c>
    </row>
    <row r="104" spans="1:9" x14ac:dyDescent="0.2">
      <c r="A104" s="4" t="s">
        <v>279</v>
      </c>
      <c r="B104" s="12" t="s">
        <v>263</v>
      </c>
      <c r="C104" s="13" t="s">
        <v>92</v>
      </c>
      <c r="D104" s="39">
        <f>SUMIFS('3. TonTheoLo'!$F$5:$F$51,'3. TonTheoLo'!$D$5:$D$51,$A104)</f>
        <v>1</v>
      </c>
      <c r="E104" s="39">
        <f>SUMIFS('3. TonTheoLo'!$G$5:$G$51,'3. TonTheoLo'!$D$5:$D$51,$A104)</f>
        <v>0</v>
      </c>
      <c r="F104" s="40">
        <f>SUMIFS('3. TonTheoLo'!$H$5:$H$51,'3. TonTheoLo'!$D$5:$D$51,$A104)</f>
        <v>1</v>
      </c>
      <c r="G104" s="21">
        <f>SUMIFS('3. TonTheoLo'!$J$5:$J$51,'3. TonTheoLo'!$D$5:$D$51,$A104)</f>
        <v>1800000</v>
      </c>
      <c r="H104" s="43">
        <v>0</v>
      </c>
      <c r="I104" s="39">
        <f t="shared" si="3"/>
        <v>1</v>
      </c>
    </row>
    <row r="105" spans="1:9" x14ac:dyDescent="0.2">
      <c r="A105" s="4" t="s">
        <v>281</v>
      </c>
      <c r="B105" s="12" t="s">
        <v>263</v>
      </c>
      <c r="C105" s="13" t="s">
        <v>74</v>
      </c>
      <c r="D105" s="39">
        <f>SUMIFS('3. TonTheoLo'!$F$5:$F$51,'3. TonTheoLo'!$D$5:$D$51,$A105)</f>
        <v>1</v>
      </c>
      <c r="E105" s="39">
        <f>SUMIFS('3. TonTheoLo'!$G$5:$G$51,'3. TonTheoLo'!$D$5:$D$51,$A105)</f>
        <v>0</v>
      </c>
      <c r="F105" s="40">
        <f>SUMIFS('3. TonTheoLo'!$H$5:$H$51,'3. TonTheoLo'!$D$5:$D$51,$A105)</f>
        <v>1</v>
      </c>
      <c r="G105" s="21">
        <f>SUMIFS('3. TonTheoLo'!$J$5:$J$51,'3. TonTheoLo'!$D$5:$D$51,$A105)</f>
        <v>2700000</v>
      </c>
      <c r="H105" s="43">
        <v>2</v>
      </c>
      <c r="I105" s="39">
        <f t="shared" si="3"/>
        <v>-1</v>
      </c>
    </row>
    <row r="106" spans="1:9" x14ac:dyDescent="0.2">
      <c r="A106" s="4" t="s">
        <v>283</v>
      </c>
      <c r="B106" s="12" t="s">
        <v>263</v>
      </c>
      <c r="C106" s="13" t="s">
        <v>86</v>
      </c>
      <c r="D106" s="39">
        <f>SUMIFS('3. TonTheoLo'!$F$5:$F$51,'3. TonTheoLo'!$D$5:$D$51,$A106)</f>
        <v>1</v>
      </c>
      <c r="E106" s="39">
        <f>SUMIFS('3. TonTheoLo'!$G$5:$G$51,'3. TonTheoLo'!$D$5:$D$51,$A106)</f>
        <v>0</v>
      </c>
      <c r="F106" s="40">
        <f>SUMIFS('3. TonTheoLo'!$H$5:$H$51,'3. TonTheoLo'!$D$5:$D$51,$A106)</f>
        <v>1</v>
      </c>
      <c r="G106" s="21">
        <f>SUMIFS('3. TonTheoLo'!$J$5:$J$51,'3. TonTheoLo'!$D$5:$D$51,$A106)</f>
        <v>3300000</v>
      </c>
      <c r="H106" s="43">
        <v>2</v>
      </c>
      <c r="I106" s="39">
        <f t="shared" si="3"/>
        <v>-1</v>
      </c>
    </row>
    <row r="107" spans="1:9" x14ac:dyDescent="0.2">
      <c r="A107" s="4" t="s">
        <v>284</v>
      </c>
      <c r="B107" s="12" t="s">
        <v>263</v>
      </c>
      <c r="C107" s="13" t="s">
        <v>70</v>
      </c>
      <c r="D107" s="39">
        <f>SUMIFS('3. TonTheoLo'!$F$5:$F$51,'3. TonTheoLo'!$D$5:$D$51,$A107)</f>
        <v>0</v>
      </c>
      <c r="E107" s="39">
        <f>SUMIFS('3. TonTheoLo'!$G$5:$G$51,'3. TonTheoLo'!$D$5:$D$51,$A107)</f>
        <v>0</v>
      </c>
      <c r="F107" s="40">
        <f>SUMIFS('3. TonTheoLo'!$H$5:$H$51,'3. TonTheoLo'!$D$5:$D$51,$A107)</f>
        <v>0</v>
      </c>
      <c r="G107" s="21">
        <f>SUMIFS('3. TonTheoLo'!$J$5:$J$51,'3. TonTheoLo'!$D$5:$D$51,$A107)</f>
        <v>0</v>
      </c>
      <c r="H107" s="43">
        <v>1</v>
      </c>
      <c r="I107" s="39">
        <f t="shared" si="3"/>
        <v>-1</v>
      </c>
    </row>
    <row r="108" spans="1:9" x14ac:dyDescent="0.2">
      <c r="A108" s="4" t="s">
        <v>285</v>
      </c>
      <c r="B108" s="12" t="s">
        <v>263</v>
      </c>
      <c r="C108" s="13" t="s">
        <v>105</v>
      </c>
      <c r="D108" s="39">
        <f>SUMIFS('3. TonTheoLo'!$F$5:$F$51,'3. TonTheoLo'!$D$5:$D$51,$A108)</f>
        <v>4</v>
      </c>
      <c r="E108" s="39">
        <f>SUMIFS('3. TonTheoLo'!$G$5:$G$51,'3. TonTheoLo'!$D$5:$D$51,$A108)</f>
        <v>0</v>
      </c>
      <c r="F108" s="40">
        <f>SUMIFS('3. TonTheoLo'!$H$5:$H$51,'3. TonTheoLo'!$D$5:$D$51,$A108)</f>
        <v>4</v>
      </c>
      <c r="G108" s="21">
        <f>SUMIFS('3. TonTheoLo'!$J$5:$J$51,'3. TonTheoLo'!$D$5:$D$51,$A108)</f>
        <v>50000000</v>
      </c>
      <c r="H108" s="43">
        <v>4</v>
      </c>
      <c r="I108" s="39">
        <f t="shared" si="3"/>
        <v>0</v>
      </c>
    </row>
    <row r="109" spans="1:9" x14ac:dyDescent="0.2">
      <c r="A109" s="4" t="s">
        <v>287</v>
      </c>
      <c r="B109" s="12" t="s">
        <v>263</v>
      </c>
      <c r="C109" s="13" t="s">
        <v>86</v>
      </c>
      <c r="D109" s="39">
        <f>SUMIFS('3. TonTheoLo'!$F$5:$F$51,'3. TonTheoLo'!$D$5:$D$51,$A109)</f>
        <v>0</v>
      </c>
      <c r="E109" s="39">
        <f>SUMIFS('3. TonTheoLo'!$G$5:$G$51,'3. TonTheoLo'!$D$5:$D$51,$A109)</f>
        <v>0</v>
      </c>
      <c r="F109" s="40">
        <f>SUMIFS('3. TonTheoLo'!$H$5:$H$51,'3. TonTheoLo'!$D$5:$D$51,$A109)</f>
        <v>0</v>
      </c>
      <c r="G109" s="21">
        <f>SUMIFS('3. TonTheoLo'!$J$5:$J$51,'3. TonTheoLo'!$D$5:$D$51,$A109)</f>
        <v>0</v>
      </c>
      <c r="H109" s="43">
        <v>8</v>
      </c>
      <c r="I109" s="39">
        <f t="shared" si="3"/>
        <v>-8</v>
      </c>
    </row>
    <row r="110" spans="1:9" x14ac:dyDescent="0.2">
      <c r="A110" s="4" t="s">
        <v>290</v>
      </c>
      <c r="B110" s="12" t="s">
        <v>263</v>
      </c>
      <c r="C110" s="13" t="s">
        <v>70</v>
      </c>
      <c r="D110" s="39">
        <f>SUMIFS('3. TonTheoLo'!$F$5:$F$51,'3. TonTheoLo'!$D$5:$D$51,$A110)</f>
        <v>0</v>
      </c>
      <c r="E110" s="39">
        <f>SUMIFS('3. TonTheoLo'!$G$5:$G$51,'3. TonTheoLo'!$D$5:$D$51,$A110)</f>
        <v>0</v>
      </c>
      <c r="F110" s="40">
        <f>SUMIFS('3. TonTheoLo'!$H$5:$H$51,'3. TonTheoLo'!$D$5:$D$51,$A110)</f>
        <v>0</v>
      </c>
      <c r="G110" s="21">
        <f>SUMIFS('3. TonTheoLo'!$J$5:$J$51,'3. TonTheoLo'!$D$5:$D$51,$A110)</f>
        <v>0</v>
      </c>
      <c r="H110" s="43">
        <v>5</v>
      </c>
      <c r="I110" s="39">
        <f t="shared" si="3"/>
        <v>-5</v>
      </c>
    </row>
    <row r="112" spans="1:9" x14ac:dyDescent="0.2">
      <c r="A112" s="4"/>
      <c r="B112" s="12"/>
      <c r="C112" s="13" t="s">
        <v>528</v>
      </c>
      <c r="D112" s="39">
        <f>SUM(D5:D110)</f>
        <v>120</v>
      </c>
      <c r="E112" s="39">
        <f>SUM(E5:E110)</f>
        <v>0</v>
      </c>
      <c r="F112" s="40">
        <f>SUM(F5:F110)</f>
        <v>120</v>
      </c>
      <c r="G112" s="21">
        <f>SUM(G5:G110)</f>
        <v>965800000</v>
      </c>
      <c r="H112" s="43">
        <f>SUM(H5:H110)</f>
        <v>95</v>
      </c>
      <c r="I112" s="39"/>
    </row>
  </sheetData>
  <autoFilter ref="A4:I10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6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6640625" defaultRowHeight="15" x14ac:dyDescent="0.2"/>
  <cols>
    <col min="1" max="1" width="44" customWidth="1"/>
    <col min="2" max="2" width="16" customWidth="1"/>
    <col min="3" max="3" width="22" customWidth="1"/>
    <col min="4" max="4" width="16" customWidth="1"/>
  </cols>
  <sheetData>
    <row r="1" spans="1:4" ht="18" customHeight="1" x14ac:dyDescent="0.2">
      <c r="A1" s="1" t="s">
        <v>552</v>
      </c>
    </row>
    <row r="2" spans="1:4" x14ac:dyDescent="0.2">
      <c r="A2" s="2" t="s">
        <v>553</v>
      </c>
    </row>
    <row r="4" spans="1:4" ht="36" customHeight="1" x14ac:dyDescent="0.2">
      <c r="A4" s="10" t="s">
        <v>294</v>
      </c>
      <c r="B4" s="10" t="s">
        <v>554</v>
      </c>
      <c r="C4" s="10" t="s">
        <v>555</v>
      </c>
      <c r="D4" s="10" t="s">
        <v>556</v>
      </c>
    </row>
    <row r="5" spans="1:4" x14ac:dyDescent="0.2">
      <c r="A5" s="5" t="s">
        <v>295</v>
      </c>
      <c r="B5" s="39">
        <f>SUMIFS('2. XuatKho'!$F$5:$F$254,'2. XuatKho'!$D$5:$D$254,$A5)</f>
        <v>0</v>
      </c>
      <c r="C5" s="35">
        <f>SUMIFS('2. XuatKho'!$I$5:$I$254,'2. XuatKho'!$D$5:$D$254,$A5)</f>
        <v>0</v>
      </c>
      <c r="D5" s="39">
        <f>COUNTIFS('2. XuatKho'!$D$5:$D$254,$A5)</f>
        <v>0</v>
      </c>
    </row>
    <row r="6" spans="1:4" x14ac:dyDescent="0.2">
      <c r="A6" s="5" t="s">
        <v>296</v>
      </c>
      <c r="B6" s="39">
        <f>SUMIFS('2. XuatKho'!$F$5:$F$254,'2. XuatKho'!$D$5:$D$254,$A6)</f>
        <v>0</v>
      </c>
      <c r="C6" s="35">
        <f>SUMIFS('2. XuatKho'!$I$5:$I$254,'2. XuatKho'!$D$5:$D$254,$A6)</f>
        <v>0</v>
      </c>
      <c r="D6" s="39">
        <f>COUNTIFS('2. XuatKho'!$D$5:$D$254,$A6)</f>
        <v>0</v>
      </c>
    </row>
    <row r="7" spans="1:4" x14ac:dyDescent="0.2">
      <c r="A7" s="5" t="s">
        <v>297</v>
      </c>
      <c r="B7" s="39">
        <f>SUMIFS('2. XuatKho'!$F$5:$F$254,'2. XuatKho'!$D$5:$D$254,$A7)</f>
        <v>0</v>
      </c>
      <c r="C7" s="35">
        <f>SUMIFS('2. XuatKho'!$I$5:$I$254,'2. XuatKho'!$D$5:$D$254,$A7)</f>
        <v>0</v>
      </c>
      <c r="D7" s="39">
        <f>COUNTIFS('2. XuatKho'!$D$5:$D$254,$A7)</f>
        <v>0</v>
      </c>
    </row>
    <row r="8" spans="1:4" x14ac:dyDescent="0.2">
      <c r="A8" s="5" t="s">
        <v>298</v>
      </c>
      <c r="B8" s="39">
        <f>SUMIFS('2. XuatKho'!$F$5:$F$254,'2. XuatKho'!$D$5:$D$254,$A8)</f>
        <v>0</v>
      </c>
      <c r="C8" s="35">
        <f>SUMIFS('2. XuatKho'!$I$5:$I$254,'2. XuatKho'!$D$5:$D$254,$A8)</f>
        <v>0</v>
      </c>
      <c r="D8" s="39">
        <f>COUNTIFS('2. XuatKho'!$D$5:$D$254,$A8)</f>
        <v>0</v>
      </c>
    </row>
    <row r="9" spans="1:4" x14ac:dyDescent="0.2">
      <c r="A9" s="5" t="s">
        <v>299</v>
      </c>
      <c r="B9" s="39">
        <f>SUMIFS('2. XuatKho'!$F$5:$F$254,'2. XuatKho'!$D$5:$D$254,$A9)</f>
        <v>0</v>
      </c>
      <c r="C9" s="35">
        <f>SUMIFS('2. XuatKho'!$I$5:$I$254,'2. XuatKho'!$D$5:$D$254,$A9)</f>
        <v>0</v>
      </c>
      <c r="D9" s="39">
        <f>COUNTIFS('2. XuatKho'!$D$5:$D$254,$A9)</f>
        <v>0</v>
      </c>
    </row>
    <row r="10" spans="1:4" x14ac:dyDescent="0.2">
      <c r="A10" s="5" t="s">
        <v>300</v>
      </c>
      <c r="B10" s="39">
        <f>SUMIFS('2. XuatKho'!$F$5:$F$254,'2. XuatKho'!$D$5:$D$254,$A10)</f>
        <v>0</v>
      </c>
      <c r="C10" s="35">
        <f>SUMIFS('2. XuatKho'!$I$5:$I$254,'2. XuatKho'!$D$5:$D$254,$A10)</f>
        <v>0</v>
      </c>
      <c r="D10" s="39">
        <f>COUNTIFS('2. XuatKho'!$D$5:$D$254,$A10)</f>
        <v>0</v>
      </c>
    </row>
    <row r="11" spans="1:4" x14ac:dyDescent="0.2">
      <c r="A11" s="5" t="s">
        <v>301</v>
      </c>
      <c r="B11" s="39">
        <f>SUMIFS('2. XuatKho'!$F$5:$F$254,'2. XuatKho'!$D$5:$D$254,$A11)</f>
        <v>0</v>
      </c>
      <c r="C11" s="35">
        <f>SUMIFS('2. XuatKho'!$I$5:$I$254,'2. XuatKho'!$D$5:$D$254,$A11)</f>
        <v>0</v>
      </c>
      <c r="D11" s="39">
        <f>COUNTIFS('2. XuatKho'!$D$5:$D$254,$A11)</f>
        <v>0</v>
      </c>
    </row>
    <row r="12" spans="1:4" x14ac:dyDescent="0.2">
      <c r="A12" s="5" t="s">
        <v>302</v>
      </c>
      <c r="B12" s="39">
        <f>SUMIFS('2. XuatKho'!$F$5:$F$254,'2. XuatKho'!$D$5:$D$254,$A12)</f>
        <v>0</v>
      </c>
      <c r="C12" s="35">
        <f>SUMIFS('2. XuatKho'!$I$5:$I$254,'2. XuatKho'!$D$5:$D$254,$A12)</f>
        <v>0</v>
      </c>
      <c r="D12" s="39">
        <f>COUNTIFS('2. XuatKho'!$D$5:$D$254,$A12)</f>
        <v>0</v>
      </c>
    </row>
    <row r="13" spans="1:4" x14ac:dyDescent="0.2">
      <c r="A13" s="5" t="s">
        <v>303</v>
      </c>
      <c r="B13" s="39">
        <f>SUMIFS('2. XuatKho'!$F$5:$F$254,'2. XuatKho'!$D$5:$D$254,$A13)</f>
        <v>0</v>
      </c>
      <c r="C13" s="35">
        <f>SUMIFS('2. XuatKho'!$I$5:$I$254,'2. XuatKho'!$D$5:$D$254,$A13)</f>
        <v>0</v>
      </c>
      <c r="D13" s="39">
        <f>COUNTIFS('2. XuatKho'!$D$5:$D$254,$A13)</f>
        <v>0</v>
      </c>
    </row>
    <row r="14" spans="1:4" x14ac:dyDescent="0.2">
      <c r="A14" s="5" t="s">
        <v>304</v>
      </c>
      <c r="B14" s="39">
        <f>SUMIFS('2. XuatKho'!$F$5:$F$254,'2. XuatKho'!$D$5:$D$254,$A14)</f>
        <v>0</v>
      </c>
      <c r="C14" s="35">
        <f>SUMIFS('2. XuatKho'!$I$5:$I$254,'2. XuatKho'!$D$5:$D$254,$A14)</f>
        <v>0</v>
      </c>
      <c r="D14" s="39">
        <f>COUNTIFS('2. XuatKho'!$D$5:$D$254,$A14)</f>
        <v>0</v>
      </c>
    </row>
    <row r="15" spans="1:4" x14ac:dyDescent="0.2">
      <c r="A15" s="5" t="s">
        <v>305</v>
      </c>
      <c r="B15" s="39">
        <f>SUMIFS('2. XuatKho'!$F$5:$F$254,'2. XuatKho'!$D$5:$D$254,$A15)</f>
        <v>0</v>
      </c>
      <c r="C15" s="35">
        <f>SUMIFS('2. XuatKho'!$I$5:$I$254,'2. XuatKho'!$D$5:$D$254,$A15)</f>
        <v>0</v>
      </c>
      <c r="D15" s="39">
        <f>COUNTIFS('2. XuatKho'!$D$5:$D$254,$A15)</f>
        <v>0</v>
      </c>
    </row>
    <row r="16" spans="1:4" x14ac:dyDescent="0.2">
      <c r="A16" s="5" t="s">
        <v>306</v>
      </c>
      <c r="B16" s="39">
        <f>SUMIFS('2. XuatKho'!$F$5:$F$254,'2. XuatKho'!$D$5:$D$254,$A16)</f>
        <v>0</v>
      </c>
      <c r="C16" s="35">
        <f>SUMIFS('2. XuatKho'!$I$5:$I$254,'2. XuatKho'!$D$5:$D$254,$A16)</f>
        <v>0</v>
      </c>
      <c r="D16" s="39">
        <f>COUNTIFS('2. XuatKho'!$D$5:$D$254,$A16)</f>
        <v>0</v>
      </c>
    </row>
    <row r="17" spans="1:4" x14ac:dyDescent="0.2">
      <c r="A17" s="5" t="s">
        <v>307</v>
      </c>
      <c r="B17" s="39">
        <f>SUMIFS('2. XuatKho'!$F$5:$F$254,'2. XuatKho'!$D$5:$D$254,$A17)</f>
        <v>0</v>
      </c>
      <c r="C17" s="35">
        <f>SUMIFS('2. XuatKho'!$I$5:$I$254,'2. XuatKho'!$D$5:$D$254,$A17)</f>
        <v>0</v>
      </c>
      <c r="D17" s="39">
        <f>COUNTIFS('2. XuatKho'!$D$5:$D$254,$A17)</f>
        <v>0</v>
      </c>
    </row>
    <row r="18" spans="1:4" x14ac:dyDescent="0.2">
      <c r="A18" s="5" t="s">
        <v>308</v>
      </c>
      <c r="B18" s="39">
        <f>SUMIFS('2. XuatKho'!$F$5:$F$254,'2. XuatKho'!$D$5:$D$254,$A18)</f>
        <v>0</v>
      </c>
      <c r="C18" s="35">
        <f>SUMIFS('2. XuatKho'!$I$5:$I$254,'2. XuatKho'!$D$5:$D$254,$A18)</f>
        <v>0</v>
      </c>
      <c r="D18" s="39">
        <f>COUNTIFS('2. XuatKho'!$D$5:$D$254,$A18)</f>
        <v>0</v>
      </c>
    </row>
    <row r="19" spans="1:4" x14ac:dyDescent="0.2">
      <c r="A19" s="5" t="s">
        <v>309</v>
      </c>
      <c r="B19" s="39">
        <f>SUMIFS('2. XuatKho'!$F$5:$F$254,'2. XuatKho'!$D$5:$D$254,$A19)</f>
        <v>0</v>
      </c>
      <c r="C19" s="35">
        <f>SUMIFS('2. XuatKho'!$I$5:$I$254,'2. XuatKho'!$D$5:$D$254,$A19)</f>
        <v>0</v>
      </c>
      <c r="D19" s="39">
        <f>COUNTIFS('2. XuatKho'!$D$5:$D$254,$A19)</f>
        <v>0</v>
      </c>
    </row>
    <row r="20" spans="1:4" x14ac:dyDescent="0.2">
      <c r="A20" s="5" t="s">
        <v>310</v>
      </c>
      <c r="B20" s="39">
        <f>SUMIFS('2. XuatKho'!$F$5:$F$254,'2. XuatKho'!$D$5:$D$254,$A20)</f>
        <v>0</v>
      </c>
      <c r="C20" s="35">
        <f>SUMIFS('2. XuatKho'!$I$5:$I$254,'2. XuatKho'!$D$5:$D$254,$A20)</f>
        <v>0</v>
      </c>
      <c r="D20" s="39">
        <f>COUNTIFS('2. XuatKho'!$D$5:$D$254,$A20)</f>
        <v>0</v>
      </c>
    </row>
    <row r="21" spans="1:4" x14ac:dyDescent="0.2">
      <c r="A21" s="5" t="s">
        <v>311</v>
      </c>
      <c r="B21" s="39">
        <f>SUMIFS('2. XuatKho'!$F$5:$F$254,'2. XuatKho'!$D$5:$D$254,$A21)</f>
        <v>0</v>
      </c>
      <c r="C21" s="35">
        <f>SUMIFS('2. XuatKho'!$I$5:$I$254,'2. XuatKho'!$D$5:$D$254,$A21)</f>
        <v>0</v>
      </c>
      <c r="D21" s="39">
        <f>COUNTIFS('2. XuatKho'!$D$5:$D$254,$A21)</f>
        <v>0</v>
      </c>
    </row>
    <row r="22" spans="1:4" x14ac:dyDescent="0.2">
      <c r="A22" s="5" t="s">
        <v>312</v>
      </c>
      <c r="B22" s="39">
        <f>SUMIFS('2. XuatKho'!$F$5:$F$254,'2. XuatKho'!$D$5:$D$254,$A22)</f>
        <v>0</v>
      </c>
      <c r="C22" s="35">
        <f>SUMIFS('2. XuatKho'!$I$5:$I$254,'2. XuatKho'!$D$5:$D$254,$A22)</f>
        <v>0</v>
      </c>
      <c r="D22" s="39">
        <f>COUNTIFS('2. XuatKho'!$D$5:$D$254,$A22)</f>
        <v>0</v>
      </c>
    </row>
    <row r="23" spans="1:4" x14ac:dyDescent="0.2">
      <c r="A23" s="5" t="s">
        <v>313</v>
      </c>
      <c r="B23" s="39">
        <f>SUMIFS('2. XuatKho'!$F$5:$F$254,'2. XuatKho'!$D$5:$D$254,$A23)</f>
        <v>0</v>
      </c>
      <c r="C23" s="35">
        <f>SUMIFS('2. XuatKho'!$I$5:$I$254,'2. XuatKho'!$D$5:$D$254,$A23)</f>
        <v>0</v>
      </c>
      <c r="D23" s="39">
        <f>COUNTIFS('2. XuatKho'!$D$5:$D$254,$A23)</f>
        <v>0</v>
      </c>
    </row>
    <row r="24" spans="1:4" x14ac:dyDescent="0.2">
      <c r="A24" s="5" t="s">
        <v>314</v>
      </c>
      <c r="B24" s="39">
        <f>SUMIFS('2. XuatKho'!$F$5:$F$254,'2. XuatKho'!$D$5:$D$254,$A24)</f>
        <v>0</v>
      </c>
      <c r="C24" s="35">
        <f>SUMIFS('2. XuatKho'!$I$5:$I$254,'2. XuatKho'!$D$5:$D$254,$A24)</f>
        <v>0</v>
      </c>
      <c r="D24" s="39">
        <f>COUNTIFS('2. XuatKho'!$D$5:$D$254,$A24)</f>
        <v>0</v>
      </c>
    </row>
    <row r="25" spans="1:4" x14ac:dyDescent="0.2">
      <c r="A25" s="5" t="s">
        <v>315</v>
      </c>
      <c r="B25" s="39">
        <f>SUMIFS('2. XuatKho'!$F$5:$F$254,'2. XuatKho'!$D$5:$D$254,$A25)</f>
        <v>0</v>
      </c>
      <c r="C25" s="35">
        <f>SUMIFS('2. XuatKho'!$I$5:$I$254,'2. XuatKho'!$D$5:$D$254,$A25)</f>
        <v>0</v>
      </c>
      <c r="D25" s="39">
        <f>COUNTIFS('2. XuatKho'!$D$5:$D$254,$A25)</f>
        <v>0</v>
      </c>
    </row>
    <row r="26" spans="1:4" x14ac:dyDescent="0.2">
      <c r="A26" s="5" t="s">
        <v>316</v>
      </c>
      <c r="B26" s="39">
        <f>SUMIFS('2. XuatKho'!$F$5:$F$254,'2. XuatKho'!$D$5:$D$254,$A26)</f>
        <v>0</v>
      </c>
      <c r="C26" s="35">
        <f>SUMIFS('2. XuatKho'!$I$5:$I$254,'2. XuatKho'!$D$5:$D$254,$A26)</f>
        <v>0</v>
      </c>
      <c r="D26" s="39">
        <f>COUNTIFS('2. XuatKho'!$D$5:$D$254,$A26)</f>
        <v>0</v>
      </c>
    </row>
    <row r="27" spans="1:4" x14ac:dyDescent="0.2">
      <c r="A27" s="5" t="s">
        <v>317</v>
      </c>
      <c r="B27" s="39">
        <f>SUMIFS('2. XuatKho'!$F$5:$F$254,'2. XuatKho'!$D$5:$D$254,$A27)</f>
        <v>0</v>
      </c>
      <c r="C27" s="35">
        <f>SUMIFS('2. XuatKho'!$I$5:$I$254,'2. XuatKho'!$D$5:$D$254,$A27)</f>
        <v>0</v>
      </c>
      <c r="D27" s="39">
        <f>COUNTIFS('2. XuatKho'!$D$5:$D$254,$A27)</f>
        <v>0</v>
      </c>
    </row>
    <row r="28" spans="1:4" x14ac:dyDescent="0.2">
      <c r="A28" s="5" t="s">
        <v>318</v>
      </c>
      <c r="B28" s="39">
        <f>SUMIFS('2. XuatKho'!$F$5:$F$254,'2. XuatKho'!$D$5:$D$254,$A28)</f>
        <v>0</v>
      </c>
      <c r="C28" s="35">
        <f>SUMIFS('2. XuatKho'!$I$5:$I$254,'2. XuatKho'!$D$5:$D$254,$A28)</f>
        <v>0</v>
      </c>
      <c r="D28" s="39">
        <f>COUNTIFS('2. XuatKho'!$D$5:$D$254,$A28)</f>
        <v>0</v>
      </c>
    </row>
    <row r="29" spans="1:4" x14ac:dyDescent="0.2">
      <c r="A29" s="5" t="s">
        <v>319</v>
      </c>
      <c r="B29" s="39">
        <f>SUMIFS('2. XuatKho'!$F$5:$F$254,'2. XuatKho'!$D$5:$D$254,$A29)</f>
        <v>0</v>
      </c>
      <c r="C29" s="35">
        <f>SUMIFS('2. XuatKho'!$I$5:$I$254,'2. XuatKho'!$D$5:$D$254,$A29)</f>
        <v>0</v>
      </c>
      <c r="D29" s="39">
        <f>COUNTIFS('2. XuatKho'!$D$5:$D$254,$A29)</f>
        <v>0</v>
      </c>
    </row>
    <row r="30" spans="1:4" x14ac:dyDescent="0.2">
      <c r="A30" s="5" t="s">
        <v>320</v>
      </c>
      <c r="B30" s="39">
        <f>SUMIFS('2. XuatKho'!$F$5:$F$254,'2. XuatKho'!$D$5:$D$254,$A30)</f>
        <v>0</v>
      </c>
      <c r="C30" s="35">
        <f>SUMIFS('2. XuatKho'!$I$5:$I$254,'2. XuatKho'!$D$5:$D$254,$A30)</f>
        <v>0</v>
      </c>
      <c r="D30" s="39">
        <f>COUNTIFS('2. XuatKho'!$D$5:$D$254,$A30)</f>
        <v>0</v>
      </c>
    </row>
    <row r="31" spans="1:4" x14ac:dyDescent="0.2">
      <c r="A31" s="5" t="s">
        <v>321</v>
      </c>
      <c r="B31" s="39">
        <f>SUMIFS('2. XuatKho'!$F$5:$F$254,'2. XuatKho'!$D$5:$D$254,$A31)</f>
        <v>0</v>
      </c>
      <c r="C31" s="35">
        <f>SUMIFS('2. XuatKho'!$I$5:$I$254,'2. XuatKho'!$D$5:$D$254,$A31)</f>
        <v>0</v>
      </c>
      <c r="D31" s="39">
        <f>COUNTIFS('2. XuatKho'!$D$5:$D$254,$A31)</f>
        <v>0</v>
      </c>
    </row>
    <row r="32" spans="1:4" x14ac:dyDescent="0.2">
      <c r="A32" s="5" t="s">
        <v>322</v>
      </c>
      <c r="B32" s="39">
        <f>SUMIFS('2. XuatKho'!$F$5:$F$254,'2. XuatKho'!$D$5:$D$254,$A32)</f>
        <v>0</v>
      </c>
      <c r="C32" s="35">
        <f>SUMIFS('2. XuatKho'!$I$5:$I$254,'2. XuatKho'!$D$5:$D$254,$A32)</f>
        <v>0</v>
      </c>
      <c r="D32" s="39">
        <f>COUNTIFS('2. XuatKho'!$D$5:$D$254,$A32)</f>
        <v>0</v>
      </c>
    </row>
    <row r="33" spans="1:4" x14ac:dyDescent="0.2">
      <c r="A33" s="5" t="s">
        <v>323</v>
      </c>
      <c r="B33" s="39">
        <f>SUMIFS('2. XuatKho'!$F$5:$F$254,'2. XuatKho'!$D$5:$D$254,$A33)</f>
        <v>0</v>
      </c>
      <c r="C33" s="35">
        <f>SUMIFS('2. XuatKho'!$I$5:$I$254,'2. XuatKho'!$D$5:$D$254,$A33)</f>
        <v>0</v>
      </c>
      <c r="D33" s="39">
        <f>COUNTIFS('2. XuatKho'!$D$5:$D$254,$A33)</f>
        <v>0</v>
      </c>
    </row>
    <row r="34" spans="1:4" x14ac:dyDescent="0.2">
      <c r="A34" s="5" t="s">
        <v>324</v>
      </c>
      <c r="B34" s="39">
        <f>SUMIFS('2. XuatKho'!$F$5:$F$254,'2. XuatKho'!$D$5:$D$254,$A34)</f>
        <v>0</v>
      </c>
      <c r="C34" s="35">
        <f>SUMIFS('2. XuatKho'!$I$5:$I$254,'2. XuatKho'!$D$5:$D$254,$A34)</f>
        <v>0</v>
      </c>
      <c r="D34" s="39">
        <f>COUNTIFS('2. XuatKho'!$D$5:$D$254,$A34)</f>
        <v>0</v>
      </c>
    </row>
    <row r="35" spans="1:4" x14ac:dyDescent="0.2">
      <c r="A35" s="5" t="s">
        <v>325</v>
      </c>
      <c r="B35" s="39">
        <f>SUMIFS('2. XuatKho'!$F$5:$F$254,'2. XuatKho'!$D$5:$D$254,$A35)</f>
        <v>0</v>
      </c>
      <c r="C35" s="35">
        <f>SUMIFS('2. XuatKho'!$I$5:$I$254,'2. XuatKho'!$D$5:$D$254,$A35)</f>
        <v>0</v>
      </c>
      <c r="D35" s="39">
        <f>COUNTIFS('2. XuatKho'!$D$5:$D$254,$A35)</f>
        <v>0</v>
      </c>
    </row>
    <row r="36" spans="1:4" x14ac:dyDescent="0.2">
      <c r="A36" s="5" t="s">
        <v>326</v>
      </c>
      <c r="B36" s="39">
        <f>SUMIFS('2. XuatKho'!$F$5:$F$254,'2. XuatKho'!$D$5:$D$254,$A36)</f>
        <v>0</v>
      </c>
      <c r="C36" s="35">
        <f>SUMIFS('2. XuatKho'!$I$5:$I$254,'2. XuatKho'!$D$5:$D$254,$A36)</f>
        <v>0</v>
      </c>
      <c r="D36" s="39">
        <f>COUNTIFS('2. XuatKho'!$D$5:$D$254,$A36)</f>
        <v>0</v>
      </c>
    </row>
    <row r="37" spans="1:4" x14ac:dyDescent="0.2">
      <c r="A37" s="5" t="s">
        <v>327</v>
      </c>
      <c r="B37" s="39">
        <f>SUMIFS('2. XuatKho'!$F$5:$F$254,'2. XuatKho'!$D$5:$D$254,$A37)</f>
        <v>0</v>
      </c>
      <c r="C37" s="35">
        <f>SUMIFS('2. XuatKho'!$I$5:$I$254,'2. XuatKho'!$D$5:$D$254,$A37)</f>
        <v>0</v>
      </c>
      <c r="D37" s="39">
        <f>COUNTIFS('2. XuatKho'!$D$5:$D$254,$A37)</f>
        <v>0</v>
      </c>
    </row>
    <row r="38" spans="1:4" x14ac:dyDescent="0.2">
      <c r="A38" s="5" t="s">
        <v>328</v>
      </c>
      <c r="B38" s="39">
        <f>SUMIFS('2. XuatKho'!$F$5:$F$254,'2. XuatKho'!$D$5:$D$254,$A38)</f>
        <v>0</v>
      </c>
      <c r="C38" s="35">
        <f>SUMIFS('2. XuatKho'!$I$5:$I$254,'2. XuatKho'!$D$5:$D$254,$A38)</f>
        <v>0</v>
      </c>
      <c r="D38" s="39">
        <f>COUNTIFS('2. XuatKho'!$D$5:$D$254,$A38)</f>
        <v>0</v>
      </c>
    </row>
    <row r="39" spans="1:4" x14ac:dyDescent="0.2">
      <c r="A39" s="5" t="s">
        <v>329</v>
      </c>
      <c r="B39" s="39">
        <f>SUMIFS('2. XuatKho'!$F$5:$F$254,'2. XuatKho'!$D$5:$D$254,$A39)</f>
        <v>0</v>
      </c>
      <c r="C39" s="35">
        <f>SUMIFS('2. XuatKho'!$I$5:$I$254,'2. XuatKho'!$D$5:$D$254,$A39)</f>
        <v>0</v>
      </c>
      <c r="D39" s="39">
        <f>COUNTIFS('2. XuatKho'!$D$5:$D$254,$A39)</f>
        <v>0</v>
      </c>
    </row>
    <row r="40" spans="1:4" x14ac:dyDescent="0.2">
      <c r="A40" s="5" t="s">
        <v>330</v>
      </c>
      <c r="B40" s="39">
        <f>SUMIFS('2. XuatKho'!$F$5:$F$254,'2. XuatKho'!$D$5:$D$254,$A40)</f>
        <v>0</v>
      </c>
      <c r="C40" s="35">
        <f>SUMIFS('2. XuatKho'!$I$5:$I$254,'2. XuatKho'!$D$5:$D$254,$A40)</f>
        <v>0</v>
      </c>
      <c r="D40" s="39">
        <f>COUNTIFS('2. XuatKho'!$D$5:$D$254,$A40)</f>
        <v>0</v>
      </c>
    </row>
    <row r="41" spans="1:4" x14ac:dyDescent="0.2">
      <c r="A41" s="5" t="s">
        <v>331</v>
      </c>
      <c r="B41" s="39">
        <f>SUMIFS('2. XuatKho'!$F$5:$F$254,'2. XuatKho'!$D$5:$D$254,$A41)</f>
        <v>0</v>
      </c>
      <c r="C41" s="35">
        <f>SUMIFS('2. XuatKho'!$I$5:$I$254,'2. XuatKho'!$D$5:$D$254,$A41)</f>
        <v>0</v>
      </c>
      <c r="D41" s="39">
        <f>COUNTIFS('2. XuatKho'!$D$5:$D$254,$A41)</f>
        <v>0</v>
      </c>
    </row>
    <row r="42" spans="1:4" x14ac:dyDescent="0.2">
      <c r="A42" s="5" t="s">
        <v>332</v>
      </c>
      <c r="B42" s="39">
        <f>SUMIFS('2. XuatKho'!$F$5:$F$254,'2. XuatKho'!$D$5:$D$254,$A42)</f>
        <v>0</v>
      </c>
      <c r="C42" s="35">
        <f>SUMIFS('2. XuatKho'!$I$5:$I$254,'2. XuatKho'!$D$5:$D$254,$A42)</f>
        <v>0</v>
      </c>
      <c r="D42" s="39">
        <f>COUNTIFS('2. XuatKho'!$D$5:$D$254,$A42)</f>
        <v>0</v>
      </c>
    </row>
    <row r="43" spans="1:4" x14ac:dyDescent="0.2">
      <c r="A43" s="5" t="s">
        <v>333</v>
      </c>
      <c r="B43" s="39">
        <f>SUMIFS('2. XuatKho'!$F$5:$F$254,'2. XuatKho'!$D$5:$D$254,$A43)</f>
        <v>0</v>
      </c>
      <c r="C43" s="35">
        <f>SUMIFS('2. XuatKho'!$I$5:$I$254,'2. XuatKho'!$D$5:$D$254,$A43)</f>
        <v>0</v>
      </c>
      <c r="D43" s="39">
        <f>COUNTIFS('2. XuatKho'!$D$5:$D$254,$A43)</f>
        <v>0</v>
      </c>
    </row>
    <row r="44" spans="1:4" x14ac:dyDescent="0.2">
      <c r="A44" s="5" t="s">
        <v>334</v>
      </c>
      <c r="B44" s="39">
        <f>SUMIFS('2. XuatKho'!$F$5:$F$254,'2. XuatKho'!$D$5:$D$254,$A44)</f>
        <v>0</v>
      </c>
      <c r="C44" s="35">
        <f>SUMIFS('2. XuatKho'!$I$5:$I$254,'2. XuatKho'!$D$5:$D$254,$A44)</f>
        <v>0</v>
      </c>
      <c r="D44" s="39">
        <f>COUNTIFS('2. XuatKho'!$D$5:$D$254,$A44)</f>
        <v>0</v>
      </c>
    </row>
    <row r="45" spans="1:4" x14ac:dyDescent="0.2">
      <c r="A45" s="5" t="s">
        <v>335</v>
      </c>
      <c r="B45" s="39">
        <f>SUMIFS('2. XuatKho'!$F$5:$F$254,'2. XuatKho'!$D$5:$D$254,$A45)</f>
        <v>0</v>
      </c>
      <c r="C45" s="35">
        <f>SUMIFS('2. XuatKho'!$I$5:$I$254,'2. XuatKho'!$D$5:$D$254,$A45)</f>
        <v>0</v>
      </c>
      <c r="D45" s="39">
        <f>COUNTIFS('2. XuatKho'!$D$5:$D$254,$A45)</f>
        <v>0</v>
      </c>
    </row>
    <row r="46" spans="1:4" x14ac:dyDescent="0.2">
      <c r="A46" s="5" t="s">
        <v>336</v>
      </c>
      <c r="B46" s="39">
        <f>SUMIFS('2. XuatKho'!$F$5:$F$254,'2. XuatKho'!$D$5:$D$254,$A46)</f>
        <v>0</v>
      </c>
      <c r="C46" s="35">
        <f>SUMIFS('2. XuatKho'!$I$5:$I$254,'2. XuatKho'!$D$5:$D$254,$A46)</f>
        <v>0</v>
      </c>
      <c r="D46" s="39">
        <f>COUNTIFS('2. XuatKho'!$D$5:$D$254,$A46)</f>
        <v>0</v>
      </c>
    </row>
    <row r="47" spans="1:4" x14ac:dyDescent="0.2">
      <c r="A47" s="5" t="s">
        <v>337</v>
      </c>
      <c r="B47" s="39">
        <f>SUMIFS('2. XuatKho'!$F$5:$F$254,'2. XuatKho'!$D$5:$D$254,$A47)</f>
        <v>0</v>
      </c>
      <c r="C47" s="35">
        <f>SUMIFS('2. XuatKho'!$I$5:$I$254,'2. XuatKho'!$D$5:$D$254,$A47)</f>
        <v>0</v>
      </c>
      <c r="D47" s="39">
        <f>COUNTIFS('2. XuatKho'!$D$5:$D$254,$A47)</f>
        <v>0</v>
      </c>
    </row>
    <row r="48" spans="1:4" x14ac:dyDescent="0.2">
      <c r="A48" s="5" t="s">
        <v>338</v>
      </c>
      <c r="B48" s="39">
        <f>SUMIFS('2. XuatKho'!$F$5:$F$254,'2. XuatKho'!$D$5:$D$254,$A48)</f>
        <v>0</v>
      </c>
      <c r="C48" s="35">
        <f>SUMIFS('2. XuatKho'!$I$5:$I$254,'2. XuatKho'!$D$5:$D$254,$A48)</f>
        <v>0</v>
      </c>
      <c r="D48" s="39">
        <f>COUNTIFS('2. XuatKho'!$D$5:$D$254,$A48)</f>
        <v>0</v>
      </c>
    </row>
    <row r="49" spans="1:4" x14ac:dyDescent="0.2">
      <c r="A49" s="5" t="s">
        <v>339</v>
      </c>
      <c r="B49" s="39">
        <f>SUMIFS('2. XuatKho'!$F$5:$F$254,'2. XuatKho'!$D$5:$D$254,$A49)</f>
        <v>0</v>
      </c>
      <c r="C49" s="35">
        <f>SUMIFS('2. XuatKho'!$I$5:$I$254,'2. XuatKho'!$D$5:$D$254,$A49)</f>
        <v>0</v>
      </c>
      <c r="D49" s="39">
        <f>COUNTIFS('2. XuatKho'!$D$5:$D$254,$A49)</f>
        <v>0</v>
      </c>
    </row>
    <row r="50" spans="1:4" x14ac:dyDescent="0.2">
      <c r="A50" s="5" t="s">
        <v>340</v>
      </c>
      <c r="B50" s="39">
        <f>SUMIFS('2. XuatKho'!$F$5:$F$254,'2. XuatKho'!$D$5:$D$254,$A50)</f>
        <v>0</v>
      </c>
      <c r="C50" s="35">
        <f>SUMIFS('2. XuatKho'!$I$5:$I$254,'2. XuatKho'!$D$5:$D$254,$A50)</f>
        <v>0</v>
      </c>
      <c r="D50" s="39">
        <f>COUNTIFS('2. XuatKho'!$D$5:$D$254,$A50)</f>
        <v>0</v>
      </c>
    </row>
    <row r="51" spans="1:4" x14ac:dyDescent="0.2">
      <c r="A51" s="5" t="s">
        <v>341</v>
      </c>
      <c r="B51" s="39">
        <f>SUMIFS('2. XuatKho'!$F$5:$F$254,'2. XuatKho'!$D$5:$D$254,$A51)</f>
        <v>0</v>
      </c>
      <c r="C51" s="35">
        <f>SUMIFS('2. XuatKho'!$I$5:$I$254,'2. XuatKho'!$D$5:$D$254,$A51)</f>
        <v>0</v>
      </c>
      <c r="D51" s="39">
        <f>COUNTIFS('2. XuatKho'!$D$5:$D$254,$A51)</f>
        <v>0</v>
      </c>
    </row>
    <row r="52" spans="1:4" x14ac:dyDescent="0.2">
      <c r="A52" s="5" t="s">
        <v>342</v>
      </c>
      <c r="B52" s="39">
        <f>SUMIFS('2. XuatKho'!$F$5:$F$254,'2. XuatKho'!$D$5:$D$254,$A52)</f>
        <v>0</v>
      </c>
      <c r="C52" s="35">
        <f>SUMIFS('2. XuatKho'!$I$5:$I$254,'2. XuatKho'!$D$5:$D$254,$A52)</f>
        <v>0</v>
      </c>
      <c r="D52" s="39">
        <f>COUNTIFS('2. XuatKho'!$D$5:$D$254,$A52)</f>
        <v>0</v>
      </c>
    </row>
    <row r="53" spans="1:4" x14ac:dyDescent="0.2">
      <c r="A53" s="5" t="s">
        <v>343</v>
      </c>
      <c r="B53" s="39">
        <f>SUMIFS('2. XuatKho'!$F$5:$F$254,'2. XuatKho'!$D$5:$D$254,$A53)</f>
        <v>0</v>
      </c>
      <c r="C53" s="35">
        <f>SUMIFS('2. XuatKho'!$I$5:$I$254,'2. XuatKho'!$D$5:$D$254,$A53)</f>
        <v>0</v>
      </c>
      <c r="D53" s="39">
        <f>COUNTIFS('2. XuatKho'!$D$5:$D$254,$A53)</f>
        <v>0</v>
      </c>
    </row>
    <row r="54" spans="1:4" x14ac:dyDescent="0.2">
      <c r="A54" s="5" t="s">
        <v>344</v>
      </c>
      <c r="B54" s="39">
        <f>SUMIFS('2. XuatKho'!$F$5:$F$254,'2. XuatKho'!$D$5:$D$254,$A54)</f>
        <v>0</v>
      </c>
      <c r="C54" s="35">
        <f>SUMIFS('2. XuatKho'!$I$5:$I$254,'2. XuatKho'!$D$5:$D$254,$A54)</f>
        <v>0</v>
      </c>
      <c r="D54" s="39">
        <f>COUNTIFS('2. XuatKho'!$D$5:$D$254,$A54)</f>
        <v>0</v>
      </c>
    </row>
    <row r="55" spans="1:4" x14ac:dyDescent="0.2">
      <c r="A55" s="5" t="s">
        <v>345</v>
      </c>
      <c r="B55" s="39">
        <f>SUMIFS('2. XuatKho'!$F$5:$F$254,'2. XuatKho'!$D$5:$D$254,$A55)</f>
        <v>0</v>
      </c>
      <c r="C55" s="35">
        <f>SUMIFS('2. XuatKho'!$I$5:$I$254,'2. XuatKho'!$D$5:$D$254,$A55)</f>
        <v>0</v>
      </c>
      <c r="D55" s="39">
        <f>COUNTIFS('2. XuatKho'!$D$5:$D$254,$A55)</f>
        <v>0</v>
      </c>
    </row>
    <row r="56" spans="1:4" x14ac:dyDescent="0.2">
      <c r="A56" s="5" t="s">
        <v>346</v>
      </c>
      <c r="B56" s="39">
        <f>SUMIFS('2. XuatKho'!$F$5:$F$254,'2. XuatKho'!$D$5:$D$254,$A56)</f>
        <v>0</v>
      </c>
      <c r="C56" s="35">
        <f>SUMIFS('2. XuatKho'!$I$5:$I$254,'2. XuatKho'!$D$5:$D$254,$A56)</f>
        <v>0</v>
      </c>
      <c r="D56" s="39">
        <f>COUNTIFS('2. XuatKho'!$D$5:$D$254,$A56)</f>
        <v>0</v>
      </c>
    </row>
    <row r="57" spans="1:4" x14ac:dyDescent="0.2">
      <c r="A57" s="5" t="s">
        <v>347</v>
      </c>
      <c r="B57" s="39">
        <f>SUMIFS('2. XuatKho'!$F$5:$F$254,'2. XuatKho'!$D$5:$D$254,$A57)</f>
        <v>0</v>
      </c>
      <c r="C57" s="35">
        <f>SUMIFS('2. XuatKho'!$I$5:$I$254,'2. XuatKho'!$D$5:$D$254,$A57)</f>
        <v>0</v>
      </c>
      <c r="D57" s="39">
        <f>COUNTIFS('2. XuatKho'!$D$5:$D$254,$A57)</f>
        <v>0</v>
      </c>
    </row>
    <row r="58" spans="1:4" x14ac:dyDescent="0.2">
      <c r="A58" s="5" t="s">
        <v>348</v>
      </c>
      <c r="B58" s="39">
        <f>SUMIFS('2. XuatKho'!$F$5:$F$254,'2. XuatKho'!$D$5:$D$254,$A58)</f>
        <v>0</v>
      </c>
      <c r="C58" s="35">
        <f>SUMIFS('2. XuatKho'!$I$5:$I$254,'2. XuatKho'!$D$5:$D$254,$A58)</f>
        <v>0</v>
      </c>
      <c r="D58" s="39">
        <f>COUNTIFS('2. XuatKho'!$D$5:$D$254,$A58)</f>
        <v>0</v>
      </c>
    </row>
    <row r="59" spans="1:4" x14ac:dyDescent="0.2">
      <c r="A59" s="5" t="s">
        <v>349</v>
      </c>
      <c r="B59" s="39">
        <f>SUMIFS('2. XuatKho'!$F$5:$F$254,'2. XuatKho'!$D$5:$D$254,$A59)</f>
        <v>0</v>
      </c>
      <c r="C59" s="35">
        <f>SUMIFS('2. XuatKho'!$I$5:$I$254,'2. XuatKho'!$D$5:$D$254,$A59)</f>
        <v>0</v>
      </c>
      <c r="D59" s="39">
        <f>COUNTIFS('2. XuatKho'!$D$5:$D$254,$A59)</f>
        <v>0</v>
      </c>
    </row>
    <row r="60" spans="1:4" x14ac:dyDescent="0.2">
      <c r="A60" s="5" t="s">
        <v>350</v>
      </c>
      <c r="B60" s="39">
        <f>SUMIFS('2. XuatKho'!$F$5:$F$254,'2. XuatKho'!$D$5:$D$254,$A60)</f>
        <v>0</v>
      </c>
      <c r="C60" s="35">
        <f>SUMIFS('2. XuatKho'!$I$5:$I$254,'2. XuatKho'!$D$5:$D$254,$A60)</f>
        <v>0</v>
      </c>
      <c r="D60" s="39">
        <f>COUNTIFS('2. XuatKho'!$D$5:$D$254,$A60)</f>
        <v>0</v>
      </c>
    </row>
    <row r="61" spans="1:4" x14ac:dyDescent="0.2">
      <c r="A61" s="5" t="s">
        <v>351</v>
      </c>
      <c r="B61" s="39">
        <f>SUMIFS('2. XuatKho'!$F$5:$F$254,'2. XuatKho'!$D$5:$D$254,$A61)</f>
        <v>0</v>
      </c>
      <c r="C61" s="35">
        <f>SUMIFS('2. XuatKho'!$I$5:$I$254,'2. XuatKho'!$D$5:$D$254,$A61)</f>
        <v>0</v>
      </c>
      <c r="D61" s="39">
        <f>COUNTIFS('2. XuatKho'!$D$5:$D$254,$A61)</f>
        <v>0</v>
      </c>
    </row>
    <row r="62" spans="1:4" x14ac:dyDescent="0.2">
      <c r="A62" s="5" t="s">
        <v>352</v>
      </c>
      <c r="B62" s="39">
        <f>SUMIFS('2. XuatKho'!$F$5:$F$254,'2. XuatKho'!$D$5:$D$254,$A62)</f>
        <v>0</v>
      </c>
      <c r="C62" s="35">
        <f>SUMIFS('2. XuatKho'!$I$5:$I$254,'2. XuatKho'!$D$5:$D$254,$A62)</f>
        <v>0</v>
      </c>
      <c r="D62" s="39">
        <f>COUNTIFS('2. XuatKho'!$D$5:$D$254,$A62)</f>
        <v>0</v>
      </c>
    </row>
    <row r="63" spans="1:4" x14ac:dyDescent="0.2">
      <c r="A63" s="5" t="s">
        <v>353</v>
      </c>
      <c r="B63" s="39">
        <f>SUMIFS('2. XuatKho'!$F$5:$F$254,'2. XuatKho'!$D$5:$D$254,$A63)</f>
        <v>0</v>
      </c>
      <c r="C63" s="35">
        <f>SUMIFS('2. XuatKho'!$I$5:$I$254,'2. XuatKho'!$D$5:$D$254,$A63)</f>
        <v>0</v>
      </c>
      <c r="D63" s="39">
        <f>COUNTIFS('2. XuatKho'!$D$5:$D$254,$A63)</f>
        <v>0</v>
      </c>
    </row>
    <row r="64" spans="1:4" x14ac:dyDescent="0.2">
      <c r="A64" s="5" t="s">
        <v>354</v>
      </c>
      <c r="B64" s="39">
        <f>SUMIFS('2. XuatKho'!$F$5:$F$254,'2. XuatKho'!$D$5:$D$254,$A64)</f>
        <v>0</v>
      </c>
      <c r="C64" s="35">
        <f>SUMIFS('2. XuatKho'!$I$5:$I$254,'2. XuatKho'!$D$5:$D$254,$A64)</f>
        <v>0</v>
      </c>
      <c r="D64" s="39">
        <f>COUNTIFS('2. XuatKho'!$D$5:$D$254,$A64)</f>
        <v>0</v>
      </c>
    </row>
    <row r="65" spans="1:4" x14ac:dyDescent="0.2">
      <c r="A65" s="5" t="s">
        <v>355</v>
      </c>
      <c r="B65" s="39">
        <f>SUMIFS('2. XuatKho'!$F$5:$F$254,'2. XuatKho'!$D$5:$D$254,$A65)</f>
        <v>0</v>
      </c>
      <c r="C65" s="35">
        <f>SUMIFS('2. XuatKho'!$I$5:$I$254,'2. XuatKho'!$D$5:$D$254,$A65)</f>
        <v>0</v>
      </c>
      <c r="D65" s="39">
        <f>COUNTIFS('2. XuatKho'!$D$5:$D$254,$A65)</f>
        <v>0</v>
      </c>
    </row>
    <row r="66" spans="1:4" x14ac:dyDescent="0.2">
      <c r="A66" s="5" t="s">
        <v>356</v>
      </c>
      <c r="B66" s="39">
        <f>SUMIFS('2. XuatKho'!$F$5:$F$254,'2. XuatKho'!$D$5:$D$254,$A66)</f>
        <v>0</v>
      </c>
      <c r="C66" s="35">
        <f>SUMIFS('2. XuatKho'!$I$5:$I$254,'2. XuatKho'!$D$5:$D$254,$A66)</f>
        <v>0</v>
      </c>
      <c r="D66" s="39">
        <f>COUNTIFS('2. XuatKho'!$D$5:$D$254,$A66)</f>
        <v>0</v>
      </c>
    </row>
    <row r="67" spans="1:4" x14ac:dyDescent="0.2">
      <c r="A67" s="5" t="s">
        <v>357</v>
      </c>
      <c r="B67" s="39">
        <f>SUMIFS('2. XuatKho'!$F$5:$F$254,'2. XuatKho'!$D$5:$D$254,$A67)</f>
        <v>0</v>
      </c>
      <c r="C67" s="35">
        <f>SUMIFS('2. XuatKho'!$I$5:$I$254,'2. XuatKho'!$D$5:$D$254,$A67)</f>
        <v>0</v>
      </c>
      <c r="D67" s="39">
        <f>COUNTIFS('2. XuatKho'!$D$5:$D$254,$A67)</f>
        <v>0</v>
      </c>
    </row>
    <row r="68" spans="1:4" x14ac:dyDescent="0.2">
      <c r="A68" s="5" t="s">
        <v>358</v>
      </c>
      <c r="B68" s="39">
        <f>SUMIFS('2. XuatKho'!$F$5:$F$254,'2. XuatKho'!$D$5:$D$254,$A68)</f>
        <v>0</v>
      </c>
      <c r="C68" s="35">
        <f>SUMIFS('2. XuatKho'!$I$5:$I$254,'2. XuatKho'!$D$5:$D$254,$A68)</f>
        <v>0</v>
      </c>
      <c r="D68" s="39">
        <f>COUNTIFS('2. XuatKho'!$D$5:$D$254,$A68)</f>
        <v>0</v>
      </c>
    </row>
    <row r="69" spans="1:4" x14ac:dyDescent="0.2">
      <c r="A69" s="5" t="s">
        <v>359</v>
      </c>
      <c r="B69" s="39">
        <f>SUMIFS('2. XuatKho'!$F$5:$F$254,'2. XuatKho'!$D$5:$D$254,$A69)</f>
        <v>0</v>
      </c>
      <c r="C69" s="35">
        <f>SUMIFS('2. XuatKho'!$I$5:$I$254,'2. XuatKho'!$D$5:$D$254,$A69)</f>
        <v>0</v>
      </c>
      <c r="D69" s="39">
        <f>COUNTIFS('2. XuatKho'!$D$5:$D$254,$A69)</f>
        <v>0</v>
      </c>
    </row>
    <row r="70" spans="1:4" x14ac:dyDescent="0.2">
      <c r="A70" s="5" t="s">
        <v>360</v>
      </c>
      <c r="B70" s="39">
        <f>SUMIFS('2. XuatKho'!$F$5:$F$254,'2. XuatKho'!$D$5:$D$254,$A70)</f>
        <v>0</v>
      </c>
      <c r="C70" s="35">
        <f>SUMIFS('2. XuatKho'!$I$5:$I$254,'2. XuatKho'!$D$5:$D$254,$A70)</f>
        <v>0</v>
      </c>
      <c r="D70" s="39">
        <f>COUNTIFS('2. XuatKho'!$D$5:$D$254,$A70)</f>
        <v>0</v>
      </c>
    </row>
    <row r="71" spans="1:4" x14ac:dyDescent="0.2">
      <c r="A71" s="5" t="s">
        <v>361</v>
      </c>
      <c r="B71" s="39">
        <f>SUMIFS('2. XuatKho'!$F$5:$F$254,'2. XuatKho'!$D$5:$D$254,$A71)</f>
        <v>0</v>
      </c>
      <c r="C71" s="35">
        <f>SUMIFS('2. XuatKho'!$I$5:$I$254,'2. XuatKho'!$D$5:$D$254,$A71)</f>
        <v>0</v>
      </c>
      <c r="D71" s="39">
        <f>COUNTIFS('2. XuatKho'!$D$5:$D$254,$A71)</f>
        <v>0</v>
      </c>
    </row>
    <row r="72" spans="1:4" x14ac:dyDescent="0.2">
      <c r="A72" s="5" t="s">
        <v>362</v>
      </c>
      <c r="B72" s="39">
        <f>SUMIFS('2. XuatKho'!$F$5:$F$254,'2. XuatKho'!$D$5:$D$254,$A72)</f>
        <v>0</v>
      </c>
      <c r="C72" s="35">
        <f>SUMIFS('2. XuatKho'!$I$5:$I$254,'2. XuatKho'!$D$5:$D$254,$A72)</f>
        <v>0</v>
      </c>
      <c r="D72" s="39">
        <f>COUNTIFS('2. XuatKho'!$D$5:$D$254,$A72)</f>
        <v>0</v>
      </c>
    </row>
    <row r="73" spans="1:4" x14ac:dyDescent="0.2">
      <c r="A73" s="5" t="s">
        <v>363</v>
      </c>
      <c r="B73" s="39">
        <f>SUMIFS('2. XuatKho'!$F$5:$F$254,'2. XuatKho'!$D$5:$D$254,$A73)</f>
        <v>0</v>
      </c>
      <c r="C73" s="35">
        <f>SUMIFS('2. XuatKho'!$I$5:$I$254,'2. XuatKho'!$D$5:$D$254,$A73)</f>
        <v>0</v>
      </c>
      <c r="D73" s="39">
        <f>COUNTIFS('2. XuatKho'!$D$5:$D$254,$A73)</f>
        <v>0</v>
      </c>
    </row>
    <row r="74" spans="1:4" x14ac:dyDescent="0.2">
      <c r="A74" s="5" t="s">
        <v>364</v>
      </c>
      <c r="B74" s="39">
        <f>SUMIFS('2. XuatKho'!$F$5:$F$254,'2. XuatKho'!$D$5:$D$254,$A74)</f>
        <v>0</v>
      </c>
      <c r="C74" s="35">
        <f>SUMIFS('2. XuatKho'!$I$5:$I$254,'2. XuatKho'!$D$5:$D$254,$A74)</f>
        <v>0</v>
      </c>
      <c r="D74" s="39">
        <f>COUNTIFS('2. XuatKho'!$D$5:$D$254,$A74)</f>
        <v>0</v>
      </c>
    </row>
    <row r="75" spans="1:4" x14ac:dyDescent="0.2">
      <c r="A75" s="5" t="s">
        <v>365</v>
      </c>
      <c r="B75" s="39">
        <f>SUMIFS('2. XuatKho'!$F$5:$F$254,'2. XuatKho'!$D$5:$D$254,$A75)</f>
        <v>0</v>
      </c>
      <c r="C75" s="35">
        <f>SUMIFS('2. XuatKho'!$I$5:$I$254,'2. XuatKho'!$D$5:$D$254,$A75)</f>
        <v>0</v>
      </c>
      <c r="D75" s="39">
        <f>COUNTIFS('2. XuatKho'!$D$5:$D$254,$A75)</f>
        <v>0</v>
      </c>
    </row>
    <row r="76" spans="1:4" x14ac:dyDescent="0.2">
      <c r="A76" s="5" t="s">
        <v>366</v>
      </c>
      <c r="B76" s="39">
        <f>SUMIFS('2. XuatKho'!$F$5:$F$254,'2. XuatKho'!$D$5:$D$254,$A76)</f>
        <v>0</v>
      </c>
      <c r="C76" s="35">
        <f>SUMIFS('2. XuatKho'!$I$5:$I$254,'2. XuatKho'!$D$5:$D$254,$A76)</f>
        <v>0</v>
      </c>
      <c r="D76" s="39">
        <f>COUNTIFS('2. XuatKho'!$D$5:$D$254,$A76)</f>
        <v>0</v>
      </c>
    </row>
    <row r="77" spans="1:4" x14ac:dyDescent="0.2">
      <c r="A77" s="5" t="s">
        <v>367</v>
      </c>
      <c r="B77" s="39">
        <f>SUMIFS('2. XuatKho'!$F$5:$F$254,'2. XuatKho'!$D$5:$D$254,$A77)</f>
        <v>0</v>
      </c>
      <c r="C77" s="35">
        <f>SUMIFS('2. XuatKho'!$I$5:$I$254,'2. XuatKho'!$D$5:$D$254,$A77)</f>
        <v>0</v>
      </c>
      <c r="D77" s="39">
        <f>COUNTIFS('2. XuatKho'!$D$5:$D$254,$A77)</f>
        <v>0</v>
      </c>
    </row>
    <row r="78" spans="1:4" x14ac:dyDescent="0.2">
      <c r="A78" s="5" t="s">
        <v>368</v>
      </c>
      <c r="B78" s="39">
        <f>SUMIFS('2. XuatKho'!$F$5:$F$254,'2. XuatKho'!$D$5:$D$254,$A78)</f>
        <v>0</v>
      </c>
      <c r="C78" s="35">
        <f>SUMIFS('2. XuatKho'!$I$5:$I$254,'2. XuatKho'!$D$5:$D$254,$A78)</f>
        <v>0</v>
      </c>
      <c r="D78" s="39">
        <f>COUNTIFS('2. XuatKho'!$D$5:$D$254,$A78)</f>
        <v>0</v>
      </c>
    </row>
    <row r="79" spans="1:4" x14ac:dyDescent="0.2">
      <c r="A79" s="5" t="s">
        <v>369</v>
      </c>
      <c r="B79" s="39">
        <f>SUMIFS('2. XuatKho'!$F$5:$F$254,'2. XuatKho'!$D$5:$D$254,$A79)</f>
        <v>0</v>
      </c>
      <c r="C79" s="35">
        <f>SUMIFS('2. XuatKho'!$I$5:$I$254,'2. XuatKho'!$D$5:$D$254,$A79)</f>
        <v>0</v>
      </c>
      <c r="D79" s="39">
        <f>COUNTIFS('2. XuatKho'!$D$5:$D$254,$A79)</f>
        <v>0</v>
      </c>
    </row>
    <row r="80" spans="1:4" x14ac:dyDescent="0.2">
      <c r="A80" s="5" t="s">
        <v>370</v>
      </c>
      <c r="B80" s="39">
        <f>SUMIFS('2. XuatKho'!$F$5:$F$254,'2. XuatKho'!$D$5:$D$254,$A80)</f>
        <v>0</v>
      </c>
      <c r="C80" s="35">
        <f>SUMIFS('2. XuatKho'!$I$5:$I$254,'2. XuatKho'!$D$5:$D$254,$A80)</f>
        <v>0</v>
      </c>
      <c r="D80" s="39">
        <f>COUNTIFS('2. XuatKho'!$D$5:$D$254,$A80)</f>
        <v>0</v>
      </c>
    </row>
    <row r="81" spans="1:4" x14ac:dyDescent="0.2">
      <c r="A81" s="5" t="s">
        <v>371</v>
      </c>
      <c r="B81" s="39">
        <f>SUMIFS('2. XuatKho'!$F$5:$F$254,'2. XuatKho'!$D$5:$D$254,$A81)</f>
        <v>0</v>
      </c>
      <c r="C81" s="35">
        <f>SUMIFS('2. XuatKho'!$I$5:$I$254,'2. XuatKho'!$D$5:$D$254,$A81)</f>
        <v>0</v>
      </c>
      <c r="D81" s="39">
        <f>COUNTIFS('2. XuatKho'!$D$5:$D$254,$A81)</f>
        <v>0</v>
      </c>
    </row>
    <row r="82" spans="1:4" x14ac:dyDescent="0.2">
      <c r="A82" s="5" t="s">
        <v>372</v>
      </c>
      <c r="B82" s="39">
        <f>SUMIFS('2. XuatKho'!$F$5:$F$254,'2. XuatKho'!$D$5:$D$254,$A82)</f>
        <v>0</v>
      </c>
      <c r="C82" s="35">
        <f>SUMIFS('2. XuatKho'!$I$5:$I$254,'2. XuatKho'!$D$5:$D$254,$A82)</f>
        <v>0</v>
      </c>
      <c r="D82" s="39">
        <f>COUNTIFS('2. XuatKho'!$D$5:$D$254,$A82)</f>
        <v>0</v>
      </c>
    </row>
    <row r="83" spans="1:4" x14ac:dyDescent="0.2">
      <c r="A83" s="5" t="s">
        <v>373</v>
      </c>
      <c r="B83" s="39">
        <f>SUMIFS('2. XuatKho'!$F$5:$F$254,'2. XuatKho'!$D$5:$D$254,$A83)</f>
        <v>0</v>
      </c>
      <c r="C83" s="35">
        <f>SUMIFS('2. XuatKho'!$I$5:$I$254,'2. XuatKho'!$D$5:$D$254,$A83)</f>
        <v>0</v>
      </c>
      <c r="D83" s="39">
        <f>COUNTIFS('2. XuatKho'!$D$5:$D$254,$A83)</f>
        <v>0</v>
      </c>
    </row>
    <row r="84" spans="1:4" x14ac:dyDescent="0.2">
      <c r="A84" s="5" t="s">
        <v>374</v>
      </c>
      <c r="B84" s="39">
        <f>SUMIFS('2. XuatKho'!$F$5:$F$254,'2. XuatKho'!$D$5:$D$254,$A84)</f>
        <v>0</v>
      </c>
      <c r="C84" s="35">
        <f>SUMIFS('2. XuatKho'!$I$5:$I$254,'2. XuatKho'!$D$5:$D$254,$A84)</f>
        <v>0</v>
      </c>
      <c r="D84" s="39">
        <f>COUNTIFS('2. XuatKho'!$D$5:$D$254,$A84)</f>
        <v>0</v>
      </c>
    </row>
    <row r="85" spans="1:4" x14ac:dyDescent="0.2">
      <c r="A85" s="5" t="s">
        <v>375</v>
      </c>
      <c r="B85" s="39">
        <f>SUMIFS('2. XuatKho'!$F$5:$F$254,'2. XuatKho'!$D$5:$D$254,$A85)</f>
        <v>0</v>
      </c>
      <c r="C85" s="35">
        <f>SUMIFS('2. XuatKho'!$I$5:$I$254,'2. XuatKho'!$D$5:$D$254,$A85)</f>
        <v>0</v>
      </c>
      <c r="D85" s="39">
        <f>COUNTIFS('2. XuatKho'!$D$5:$D$254,$A85)</f>
        <v>0</v>
      </c>
    </row>
    <row r="86" spans="1:4" x14ac:dyDescent="0.2">
      <c r="A86" s="5" t="s">
        <v>376</v>
      </c>
      <c r="B86" s="39">
        <f>SUMIFS('2. XuatKho'!$F$5:$F$254,'2. XuatKho'!$D$5:$D$254,$A86)</f>
        <v>0</v>
      </c>
      <c r="C86" s="35">
        <f>SUMIFS('2. XuatKho'!$I$5:$I$254,'2. XuatKho'!$D$5:$D$254,$A86)</f>
        <v>0</v>
      </c>
      <c r="D86" s="39">
        <f>COUNTIFS('2. XuatKho'!$D$5:$D$254,$A86)</f>
        <v>0</v>
      </c>
    </row>
    <row r="87" spans="1:4" x14ac:dyDescent="0.2">
      <c r="A87" s="5" t="s">
        <v>377</v>
      </c>
      <c r="B87" s="39">
        <f>SUMIFS('2. XuatKho'!$F$5:$F$254,'2. XuatKho'!$D$5:$D$254,$A87)</f>
        <v>0</v>
      </c>
      <c r="C87" s="35">
        <f>SUMIFS('2. XuatKho'!$I$5:$I$254,'2. XuatKho'!$D$5:$D$254,$A87)</f>
        <v>0</v>
      </c>
      <c r="D87" s="39">
        <f>COUNTIFS('2. XuatKho'!$D$5:$D$254,$A87)</f>
        <v>0</v>
      </c>
    </row>
    <row r="88" spans="1:4" x14ac:dyDescent="0.2">
      <c r="A88" s="5" t="s">
        <v>378</v>
      </c>
      <c r="B88" s="39">
        <f>SUMIFS('2. XuatKho'!$F$5:$F$254,'2. XuatKho'!$D$5:$D$254,$A88)</f>
        <v>0</v>
      </c>
      <c r="C88" s="35">
        <f>SUMIFS('2. XuatKho'!$I$5:$I$254,'2. XuatKho'!$D$5:$D$254,$A88)</f>
        <v>0</v>
      </c>
      <c r="D88" s="39">
        <f>COUNTIFS('2. XuatKho'!$D$5:$D$254,$A88)</f>
        <v>0</v>
      </c>
    </row>
    <row r="89" spans="1:4" x14ac:dyDescent="0.2">
      <c r="A89" s="5" t="s">
        <v>379</v>
      </c>
      <c r="B89" s="39">
        <f>SUMIFS('2. XuatKho'!$F$5:$F$254,'2. XuatKho'!$D$5:$D$254,$A89)</f>
        <v>0</v>
      </c>
      <c r="C89" s="35">
        <f>SUMIFS('2. XuatKho'!$I$5:$I$254,'2. XuatKho'!$D$5:$D$254,$A89)</f>
        <v>0</v>
      </c>
      <c r="D89" s="39">
        <f>COUNTIFS('2. XuatKho'!$D$5:$D$254,$A89)</f>
        <v>0</v>
      </c>
    </row>
    <row r="90" spans="1:4" x14ac:dyDescent="0.2">
      <c r="A90" s="5" t="s">
        <v>380</v>
      </c>
      <c r="B90" s="39">
        <f>SUMIFS('2. XuatKho'!$F$5:$F$254,'2. XuatKho'!$D$5:$D$254,$A90)</f>
        <v>0</v>
      </c>
      <c r="C90" s="35">
        <f>SUMIFS('2. XuatKho'!$I$5:$I$254,'2. XuatKho'!$D$5:$D$254,$A90)</f>
        <v>0</v>
      </c>
      <c r="D90" s="39">
        <f>COUNTIFS('2. XuatKho'!$D$5:$D$254,$A90)</f>
        <v>0</v>
      </c>
    </row>
    <row r="91" spans="1:4" x14ac:dyDescent="0.2">
      <c r="A91" s="5" t="s">
        <v>381</v>
      </c>
      <c r="B91" s="39">
        <f>SUMIFS('2. XuatKho'!$F$5:$F$254,'2. XuatKho'!$D$5:$D$254,$A91)</f>
        <v>0</v>
      </c>
      <c r="C91" s="35">
        <f>SUMIFS('2. XuatKho'!$I$5:$I$254,'2. XuatKho'!$D$5:$D$254,$A91)</f>
        <v>0</v>
      </c>
      <c r="D91" s="39">
        <f>COUNTIFS('2. XuatKho'!$D$5:$D$254,$A91)</f>
        <v>0</v>
      </c>
    </row>
    <row r="92" spans="1:4" x14ac:dyDescent="0.2">
      <c r="A92" s="5" t="s">
        <v>382</v>
      </c>
      <c r="B92" s="39">
        <f>SUMIFS('2. XuatKho'!$F$5:$F$254,'2. XuatKho'!$D$5:$D$254,$A92)</f>
        <v>0</v>
      </c>
      <c r="C92" s="35">
        <f>SUMIFS('2. XuatKho'!$I$5:$I$254,'2. XuatKho'!$D$5:$D$254,$A92)</f>
        <v>0</v>
      </c>
      <c r="D92" s="39">
        <f>COUNTIFS('2. XuatKho'!$D$5:$D$254,$A92)</f>
        <v>0</v>
      </c>
    </row>
    <row r="93" spans="1:4" x14ac:dyDescent="0.2">
      <c r="A93" s="5" t="s">
        <v>383</v>
      </c>
      <c r="B93" s="39">
        <f>SUMIFS('2. XuatKho'!$F$5:$F$254,'2. XuatKho'!$D$5:$D$254,$A93)</f>
        <v>0</v>
      </c>
      <c r="C93" s="35">
        <f>SUMIFS('2. XuatKho'!$I$5:$I$254,'2. XuatKho'!$D$5:$D$254,$A93)</f>
        <v>0</v>
      </c>
      <c r="D93" s="39">
        <f>COUNTIFS('2. XuatKho'!$D$5:$D$254,$A93)</f>
        <v>0</v>
      </c>
    </row>
    <row r="94" spans="1:4" x14ac:dyDescent="0.2">
      <c r="A94" s="5" t="s">
        <v>384</v>
      </c>
      <c r="B94" s="39">
        <f>SUMIFS('2. XuatKho'!$F$5:$F$254,'2. XuatKho'!$D$5:$D$254,$A94)</f>
        <v>0</v>
      </c>
      <c r="C94" s="35">
        <f>SUMIFS('2. XuatKho'!$I$5:$I$254,'2. XuatKho'!$D$5:$D$254,$A94)</f>
        <v>0</v>
      </c>
      <c r="D94" s="39">
        <f>COUNTIFS('2. XuatKho'!$D$5:$D$254,$A94)</f>
        <v>0</v>
      </c>
    </row>
    <row r="95" spans="1:4" x14ac:dyDescent="0.2">
      <c r="A95" s="5" t="s">
        <v>385</v>
      </c>
      <c r="B95" s="39">
        <f>SUMIFS('2. XuatKho'!$F$5:$F$254,'2. XuatKho'!$D$5:$D$254,$A95)</f>
        <v>0</v>
      </c>
      <c r="C95" s="35">
        <f>SUMIFS('2. XuatKho'!$I$5:$I$254,'2. XuatKho'!$D$5:$D$254,$A95)</f>
        <v>0</v>
      </c>
      <c r="D95" s="39">
        <f>COUNTIFS('2. XuatKho'!$D$5:$D$254,$A95)</f>
        <v>0</v>
      </c>
    </row>
    <row r="96" spans="1:4" x14ac:dyDescent="0.2">
      <c r="A96" s="5" t="s">
        <v>386</v>
      </c>
      <c r="B96" s="39">
        <f>SUMIFS('2. XuatKho'!$F$5:$F$254,'2. XuatKho'!$D$5:$D$254,$A96)</f>
        <v>0</v>
      </c>
      <c r="C96" s="35">
        <f>SUMIFS('2. XuatKho'!$I$5:$I$254,'2. XuatKho'!$D$5:$D$254,$A96)</f>
        <v>0</v>
      </c>
      <c r="D96" s="39">
        <f>COUNTIFS('2. XuatKho'!$D$5:$D$254,$A96)</f>
        <v>0</v>
      </c>
    </row>
    <row r="97" spans="1:4" x14ac:dyDescent="0.2">
      <c r="A97" s="5" t="s">
        <v>387</v>
      </c>
      <c r="B97" s="39">
        <f>SUMIFS('2. XuatKho'!$F$5:$F$254,'2. XuatKho'!$D$5:$D$254,$A97)</f>
        <v>0</v>
      </c>
      <c r="C97" s="35">
        <f>SUMIFS('2. XuatKho'!$I$5:$I$254,'2. XuatKho'!$D$5:$D$254,$A97)</f>
        <v>0</v>
      </c>
      <c r="D97" s="39">
        <f>COUNTIFS('2. XuatKho'!$D$5:$D$254,$A97)</f>
        <v>0</v>
      </c>
    </row>
    <row r="98" spans="1:4" x14ac:dyDescent="0.2">
      <c r="A98" s="5" t="s">
        <v>388</v>
      </c>
      <c r="B98" s="39">
        <f>SUMIFS('2. XuatKho'!$F$5:$F$254,'2. XuatKho'!$D$5:$D$254,$A98)</f>
        <v>0</v>
      </c>
      <c r="C98" s="35">
        <f>SUMIFS('2. XuatKho'!$I$5:$I$254,'2. XuatKho'!$D$5:$D$254,$A98)</f>
        <v>0</v>
      </c>
      <c r="D98" s="39">
        <f>COUNTIFS('2. XuatKho'!$D$5:$D$254,$A98)</f>
        <v>0</v>
      </c>
    </row>
    <row r="99" spans="1:4" x14ac:dyDescent="0.2">
      <c r="A99" s="5" t="s">
        <v>389</v>
      </c>
      <c r="B99" s="39">
        <f>SUMIFS('2. XuatKho'!$F$5:$F$254,'2. XuatKho'!$D$5:$D$254,$A99)</f>
        <v>0</v>
      </c>
      <c r="C99" s="35">
        <f>SUMIFS('2. XuatKho'!$I$5:$I$254,'2. XuatKho'!$D$5:$D$254,$A99)</f>
        <v>0</v>
      </c>
      <c r="D99" s="39">
        <f>COUNTIFS('2. XuatKho'!$D$5:$D$254,$A99)</f>
        <v>0</v>
      </c>
    </row>
    <row r="100" spans="1:4" x14ac:dyDescent="0.2">
      <c r="A100" s="5" t="s">
        <v>390</v>
      </c>
      <c r="B100" s="39">
        <f>SUMIFS('2. XuatKho'!$F$5:$F$254,'2. XuatKho'!$D$5:$D$254,$A100)</f>
        <v>0</v>
      </c>
      <c r="C100" s="35">
        <f>SUMIFS('2. XuatKho'!$I$5:$I$254,'2. XuatKho'!$D$5:$D$254,$A100)</f>
        <v>0</v>
      </c>
      <c r="D100" s="39">
        <f>COUNTIFS('2. XuatKho'!$D$5:$D$254,$A100)</f>
        <v>0</v>
      </c>
    </row>
    <row r="101" spans="1:4" x14ac:dyDescent="0.2">
      <c r="A101" s="5" t="s">
        <v>391</v>
      </c>
      <c r="B101" s="39">
        <f>SUMIFS('2. XuatKho'!$F$5:$F$254,'2. XuatKho'!$D$5:$D$254,$A101)</f>
        <v>0</v>
      </c>
      <c r="C101" s="35">
        <f>SUMIFS('2. XuatKho'!$I$5:$I$254,'2. XuatKho'!$D$5:$D$254,$A101)</f>
        <v>0</v>
      </c>
      <c r="D101" s="39">
        <f>COUNTIFS('2. XuatKho'!$D$5:$D$254,$A101)</f>
        <v>0</v>
      </c>
    </row>
    <row r="102" spans="1:4" x14ac:dyDescent="0.2">
      <c r="A102" s="5" t="s">
        <v>392</v>
      </c>
      <c r="B102" s="39">
        <f>SUMIFS('2. XuatKho'!$F$5:$F$254,'2. XuatKho'!$D$5:$D$254,$A102)</f>
        <v>0</v>
      </c>
      <c r="C102" s="35">
        <f>SUMIFS('2. XuatKho'!$I$5:$I$254,'2. XuatKho'!$D$5:$D$254,$A102)</f>
        <v>0</v>
      </c>
      <c r="D102" s="39">
        <f>COUNTIFS('2. XuatKho'!$D$5:$D$254,$A102)</f>
        <v>0</v>
      </c>
    </row>
    <row r="103" spans="1:4" x14ac:dyDescent="0.2">
      <c r="A103" s="5" t="s">
        <v>393</v>
      </c>
      <c r="B103" s="39">
        <f>SUMIFS('2. XuatKho'!$F$5:$F$254,'2. XuatKho'!$D$5:$D$254,$A103)</f>
        <v>0</v>
      </c>
      <c r="C103" s="35">
        <f>SUMIFS('2. XuatKho'!$I$5:$I$254,'2. XuatKho'!$D$5:$D$254,$A103)</f>
        <v>0</v>
      </c>
      <c r="D103" s="39">
        <f>COUNTIFS('2. XuatKho'!$D$5:$D$254,$A103)</f>
        <v>0</v>
      </c>
    </row>
    <row r="104" spans="1:4" x14ac:dyDescent="0.2">
      <c r="A104" s="5" t="s">
        <v>394</v>
      </c>
      <c r="B104" s="39">
        <f>SUMIFS('2. XuatKho'!$F$5:$F$254,'2. XuatKho'!$D$5:$D$254,$A104)</f>
        <v>0</v>
      </c>
      <c r="C104" s="35">
        <f>SUMIFS('2. XuatKho'!$I$5:$I$254,'2. XuatKho'!$D$5:$D$254,$A104)</f>
        <v>0</v>
      </c>
      <c r="D104" s="39">
        <f>COUNTIFS('2. XuatKho'!$D$5:$D$254,$A104)</f>
        <v>0</v>
      </c>
    </row>
    <row r="105" spans="1:4" x14ac:dyDescent="0.2">
      <c r="A105" s="5" t="s">
        <v>395</v>
      </c>
      <c r="B105" s="39">
        <f>SUMIFS('2. XuatKho'!$F$5:$F$254,'2. XuatKho'!$D$5:$D$254,$A105)</f>
        <v>0</v>
      </c>
      <c r="C105" s="35">
        <f>SUMIFS('2. XuatKho'!$I$5:$I$254,'2. XuatKho'!$D$5:$D$254,$A105)</f>
        <v>0</v>
      </c>
      <c r="D105" s="39">
        <f>COUNTIFS('2. XuatKho'!$D$5:$D$254,$A105)</f>
        <v>0</v>
      </c>
    </row>
    <row r="106" spans="1:4" x14ac:dyDescent="0.2">
      <c r="A106" s="5" t="s">
        <v>396</v>
      </c>
      <c r="B106" s="39">
        <f>SUMIFS('2. XuatKho'!$F$5:$F$254,'2. XuatKho'!$D$5:$D$254,$A106)</f>
        <v>0</v>
      </c>
      <c r="C106" s="35">
        <f>SUMIFS('2. XuatKho'!$I$5:$I$254,'2. XuatKho'!$D$5:$D$254,$A106)</f>
        <v>0</v>
      </c>
      <c r="D106" s="39">
        <f>COUNTIFS('2. XuatKho'!$D$5:$D$254,$A106)</f>
        <v>0</v>
      </c>
    </row>
    <row r="107" spans="1:4" x14ac:dyDescent="0.2">
      <c r="A107" s="5" t="s">
        <v>397</v>
      </c>
      <c r="B107" s="39">
        <f>SUMIFS('2. XuatKho'!$F$5:$F$254,'2. XuatKho'!$D$5:$D$254,$A107)</f>
        <v>0</v>
      </c>
      <c r="C107" s="35">
        <f>SUMIFS('2. XuatKho'!$I$5:$I$254,'2. XuatKho'!$D$5:$D$254,$A107)</f>
        <v>0</v>
      </c>
      <c r="D107" s="39">
        <f>COUNTIFS('2. XuatKho'!$D$5:$D$254,$A107)</f>
        <v>0</v>
      </c>
    </row>
    <row r="108" spans="1:4" x14ac:dyDescent="0.2">
      <c r="A108" s="5" t="s">
        <v>398</v>
      </c>
      <c r="B108" s="39">
        <f>SUMIFS('2. XuatKho'!$F$5:$F$254,'2. XuatKho'!$D$5:$D$254,$A108)</f>
        <v>0</v>
      </c>
      <c r="C108" s="35">
        <f>SUMIFS('2. XuatKho'!$I$5:$I$254,'2. XuatKho'!$D$5:$D$254,$A108)</f>
        <v>0</v>
      </c>
      <c r="D108" s="39">
        <f>COUNTIFS('2. XuatKho'!$D$5:$D$254,$A108)</f>
        <v>0</v>
      </c>
    </row>
    <row r="109" spans="1:4" x14ac:dyDescent="0.2">
      <c r="A109" s="5" t="s">
        <v>399</v>
      </c>
      <c r="B109" s="39">
        <f>SUMIFS('2. XuatKho'!$F$5:$F$254,'2. XuatKho'!$D$5:$D$254,$A109)</f>
        <v>0</v>
      </c>
      <c r="C109" s="35">
        <f>SUMIFS('2. XuatKho'!$I$5:$I$254,'2. XuatKho'!$D$5:$D$254,$A109)</f>
        <v>0</v>
      </c>
      <c r="D109" s="39">
        <f>COUNTIFS('2. XuatKho'!$D$5:$D$254,$A109)</f>
        <v>0</v>
      </c>
    </row>
    <row r="110" spans="1:4" x14ac:dyDescent="0.2">
      <c r="A110" s="5" t="s">
        <v>400</v>
      </c>
      <c r="B110" s="39">
        <f>SUMIFS('2. XuatKho'!$F$5:$F$254,'2. XuatKho'!$D$5:$D$254,$A110)</f>
        <v>0</v>
      </c>
      <c r="C110" s="35">
        <f>SUMIFS('2. XuatKho'!$I$5:$I$254,'2. XuatKho'!$D$5:$D$254,$A110)</f>
        <v>0</v>
      </c>
      <c r="D110" s="39">
        <f>COUNTIFS('2. XuatKho'!$D$5:$D$254,$A110)</f>
        <v>0</v>
      </c>
    </row>
    <row r="111" spans="1:4" x14ac:dyDescent="0.2">
      <c r="A111" s="5" t="s">
        <v>401</v>
      </c>
      <c r="B111" s="39">
        <f>SUMIFS('2. XuatKho'!$F$5:$F$254,'2. XuatKho'!$D$5:$D$254,$A111)</f>
        <v>0</v>
      </c>
      <c r="C111" s="35">
        <f>SUMIFS('2. XuatKho'!$I$5:$I$254,'2. XuatKho'!$D$5:$D$254,$A111)</f>
        <v>0</v>
      </c>
      <c r="D111" s="39">
        <f>COUNTIFS('2. XuatKho'!$D$5:$D$254,$A111)</f>
        <v>0</v>
      </c>
    </row>
    <row r="112" spans="1:4" x14ac:dyDescent="0.2">
      <c r="A112" s="5" t="s">
        <v>402</v>
      </c>
      <c r="B112" s="39">
        <f>SUMIFS('2. XuatKho'!$F$5:$F$254,'2. XuatKho'!$D$5:$D$254,$A112)</f>
        <v>0</v>
      </c>
      <c r="C112" s="35">
        <f>SUMIFS('2. XuatKho'!$I$5:$I$254,'2. XuatKho'!$D$5:$D$254,$A112)</f>
        <v>0</v>
      </c>
      <c r="D112" s="39">
        <f>COUNTIFS('2. XuatKho'!$D$5:$D$254,$A112)</f>
        <v>0</v>
      </c>
    </row>
    <row r="113" spans="1:4" x14ac:dyDescent="0.2">
      <c r="A113" s="5" t="s">
        <v>403</v>
      </c>
      <c r="B113" s="39">
        <f>SUMIFS('2. XuatKho'!$F$5:$F$254,'2. XuatKho'!$D$5:$D$254,$A113)</f>
        <v>0</v>
      </c>
      <c r="C113" s="35">
        <f>SUMIFS('2. XuatKho'!$I$5:$I$254,'2. XuatKho'!$D$5:$D$254,$A113)</f>
        <v>0</v>
      </c>
      <c r="D113" s="39">
        <f>COUNTIFS('2. XuatKho'!$D$5:$D$254,$A113)</f>
        <v>0</v>
      </c>
    </row>
    <row r="114" spans="1:4" x14ac:dyDescent="0.2">
      <c r="A114" s="5" t="s">
        <v>404</v>
      </c>
      <c r="B114" s="39">
        <f>SUMIFS('2. XuatKho'!$F$5:$F$254,'2. XuatKho'!$D$5:$D$254,$A114)</f>
        <v>0</v>
      </c>
      <c r="C114" s="35">
        <f>SUMIFS('2. XuatKho'!$I$5:$I$254,'2. XuatKho'!$D$5:$D$254,$A114)</f>
        <v>0</v>
      </c>
      <c r="D114" s="39">
        <f>COUNTIFS('2. XuatKho'!$D$5:$D$254,$A114)</f>
        <v>0</v>
      </c>
    </row>
    <row r="115" spans="1:4" x14ac:dyDescent="0.2">
      <c r="A115" s="5" t="s">
        <v>405</v>
      </c>
      <c r="B115" s="39">
        <f>SUMIFS('2. XuatKho'!$F$5:$F$254,'2. XuatKho'!$D$5:$D$254,$A115)</f>
        <v>0</v>
      </c>
      <c r="C115" s="35">
        <f>SUMIFS('2. XuatKho'!$I$5:$I$254,'2. XuatKho'!$D$5:$D$254,$A115)</f>
        <v>0</v>
      </c>
      <c r="D115" s="39">
        <f>COUNTIFS('2. XuatKho'!$D$5:$D$254,$A115)</f>
        <v>0</v>
      </c>
    </row>
    <row r="116" spans="1:4" x14ac:dyDescent="0.2">
      <c r="A116" s="5" t="s">
        <v>406</v>
      </c>
      <c r="B116" s="39">
        <f>SUMIFS('2. XuatKho'!$F$5:$F$254,'2. XuatKho'!$D$5:$D$254,$A116)</f>
        <v>0</v>
      </c>
      <c r="C116" s="35">
        <f>SUMIFS('2. XuatKho'!$I$5:$I$254,'2. XuatKho'!$D$5:$D$254,$A116)</f>
        <v>0</v>
      </c>
      <c r="D116" s="39">
        <f>COUNTIFS('2. XuatKho'!$D$5:$D$254,$A116)</f>
        <v>0</v>
      </c>
    </row>
    <row r="117" spans="1:4" x14ac:dyDescent="0.2">
      <c r="A117" s="5" t="s">
        <v>407</v>
      </c>
      <c r="B117" s="39">
        <f>SUMIFS('2. XuatKho'!$F$5:$F$254,'2. XuatKho'!$D$5:$D$254,$A117)</f>
        <v>0</v>
      </c>
      <c r="C117" s="35">
        <f>SUMIFS('2. XuatKho'!$I$5:$I$254,'2. XuatKho'!$D$5:$D$254,$A117)</f>
        <v>0</v>
      </c>
      <c r="D117" s="39">
        <f>COUNTIFS('2. XuatKho'!$D$5:$D$254,$A117)</f>
        <v>0</v>
      </c>
    </row>
    <row r="118" spans="1:4" x14ac:dyDescent="0.2">
      <c r="A118" s="5" t="s">
        <v>408</v>
      </c>
      <c r="B118" s="39">
        <f>SUMIFS('2. XuatKho'!$F$5:$F$254,'2. XuatKho'!$D$5:$D$254,$A118)</f>
        <v>0</v>
      </c>
      <c r="C118" s="35">
        <f>SUMIFS('2. XuatKho'!$I$5:$I$254,'2. XuatKho'!$D$5:$D$254,$A118)</f>
        <v>0</v>
      </c>
      <c r="D118" s="39">
        <f>COUNTIFS('2. XuatKho'!$D$5:$D$254,$A118)</f>
        <v>0</v>
      </c>
    </row>
    <row r="119" spans="1:4" x14ac:dyDescent="0.2">
      <c r="A119" s="5" t="s">
        <v>409</v>
      </c>
      <c r="B119" s="39">
        <f>SUMIFS('2. XuatKho'!$F$5:$F$254,'2. XuatKho'!$D$5:$D$254,$A119)</f>
        <v>0</v>
      </c>
      <c r="C119" s="35">
        <f>SUMIFS('2. XuatKho'!$I$5:$I$254,'2. XuatKho'!$D$5:$D$254,$A119)</f>
        <v>0</v>
      </c>
      <c r="D119" s="39">
        <f>COUNTIFS('2. XuatKho'!$D$5:$D$254,$A119)</f>
        <v>0</v>
      </c>
    </row>
    <row r="120" spans="1:4" x14ac:dyDescent="0.2">
      <c r="A120" s="5" t="s">
        <v>410</v>
      </c>
      <c r="B120" s="39">
        <f>SUMIFS('2. XuatKho'!$F$5:$F$254,'2. XuatKho'!$D$5:$D$254,$A120)</f>
        <v>0</v>
      </c>
      <c r="C120" s="35">
        <f>SUMIFS('2. XuatKho'!$I$5:$I$254,'2. XuatKho'!$D$5:$D$254,$A120)</f>
        <v>0</v>
      </c>
      <c r="D120" s="39">
        <f>COUNTIFS('2. XuatKho'!$D$5:$D$254,$A120)</f>
        <v>0</v>
      </c>
    </row>
    <row r="121" spans="1:4" x14ac:dyDescent="0.2">
      <c r="A121" s="5" t="s">
        <v>411</v>
      </c>
      <c r="B121" s="39">
        <f>SUMIFS('2. XuatKho'!$F$5:$F$254,'2. XuatKho'!$D$5:$D$254,$A121)</f>
        <v>0</v>
      </c>
      <c r="C121" s="35">
        <f>SUMIFS('2. XuatKho'!$I$5:$I$254,'2. XuatKho'!$D$5:$D$254,$A121)</f>
        <v>0</v>
      </c>
      <c r="D121" s="39">
        <f>COUNTIFS('2. XuatKho'!$D$5:$D$254,$A121)</f>
        <v>0</v>
      </c>
    </row>
    <row r="122" spans="1:4" x14ac:dyDescent="0.2">
      <c r="A122" s="5" t="s">
        <v>412</v>
      </c>
      <c r="B122" s="39">
        <f>SUMIFS('2. XuatKho'!$F$5:$F$254,'2. XuatKho'!$D$5:$D$254,$A122)</f>
        <v>0</v>
      </c>
      <c r="C122" s="35">
        <f>SUMIFS('2. XuatKho'!$I$5:$I$254,'2. XuatKho'!$D$5:$D$254,$A122)</f>
        <v>0</v>
      </c>
      <c r="D122" s="39">
        <f>COUNTIFS('2. XuatKho'!$D$5:$D$254,$A122)</f>
        <v>0</v>
      </c>
    </row>
    <row r="123" spans="1:4" x14ac:dyDescent="0.2">
      <c r="A123" s="5" t="s">
        <v>413</v>
      </c>
      <c r="B123" s="39">
        <f>SUMIFS('2. XuatKho'!$F$5:$F$254,'2. XuatKho'!$D$5:$D$254,$A123)</f>
        <v>0</v>
      </c>
      <c r="C123" s="35">
        <f>SUMIFS('2. XuatKho'!$I$5:$I$254,'2. XuatKho'!$D$5:$D$254,$A123)</f>
        <v>0</v>
      </c>
      <c r="D123" s="39">
        <f>COUNTIFS('2. XuatKho'!$D$5:$D$254,$A123)</f>
        <v>0</v>
      </c>
    </row>
    <row r="124" spans="1:4" x14ac:dyDescent="0.2">
      <c r="A124" s="5" t="s">
        <v>414</v>
      </c>
      <c r="B124" s="39">
        <f>SUMIFS('2. XuatKho'!$F$5:$F$254,'2. XuatKho'!$D$5:$D$254,$A124)</f>
        <v>0</v>
      </c>
      <c r="C124" s="35">
        <f>SUMIFS('2. XuatKho'!$I$5:$I$254,'2. XuatKho'!$D$5:$D$254,$A124)</f>
        <v>0</v>
      </c>
      <c r="D124" s="39">
        <f>COUNTIFS('2. XuatKho'!$D$5:$D$254,$A124)</f>
        <v>0</v>
      </c>
    </row>
    <row r="125" spans="1:4" x14ac:dyDescent="0.2">
      <c r="A125" s="5" t="s">
        <v>415</v>
      </c>
      <c r="B125" s="39">
        <f>SUMIFS('2. XuatKho'!$F$5:$F$254,'2. XuatKho'!$D$5:$D$254,$A125)</f>
        <v>0</v>
      </c>
      <c r="C125" s="35">
        <f>SUMIFS('2. XuatKho'!$I$5:$I$254,'2. XuatKho'!$D$5:$D$254,$A125)</f>
        <v>0</v>
      </c>
      <c r="D125" s="39">
        <f>COUNTIFS('2. XuatKho'!$D$5:$D$254,$A125)</f>
        <v>0</v>
      </c>
    </row>
    <row r="126" spans="1:4" x14ac:dyDescent="0.2">
      <c r="A126" s="5" t="s">
        <v>416</v>
      </c>
      <c r="B126" s="39">
        <f>SUMIFS('2. XuatKho'!$F$5:$F$254,'2. XuatKho'!$D$5:$D$254,$A126)</f>
        <v>0</v>
      </c>
      <c r="C126" s="35">
        <f>SUMIFS('2. XuatKho'!$I$5:$I$254,'2. XuatKho'!$D$5:$D$254,$A126)</f>
        <v>0</v>
      </c>
      <c r="D126" s="39">
        <f>COUNTIFS('2. XuatKho'!$D$5:$D$254,$A126)</f>
        <v>0</v>
      </c>
    </row>
    <row r="127" spans="1:4" x14ac:dyDescent="0.2">
      <c r="A127" s="5" t="s">
        <v>417</v>
      </c>
      <c r="B127" s="39">
        <f>SUMIFS('2. XuatKho'!$F$5:$F$254,'2. XuatKho'!$D$5:$D$254,$A127)</f>
        <v>0</v>
      </c>
      <c r="C127" s="35">
        <f>SUMIFS('2. XuatKho'!$I$5:$I$254,'2. XuatKho'!$D$5:$D$254,$A127)</f>
        <v>0</v>
      </c>
      <c r="D127" s="39">
        <f>COUNTIFS('2. XuatKho'!$D$5:$D$254,$A127)</f>
        <v>0</v>
      </c>
    </row>
    <row r="128" spans="1:4" x14ac:dyDescent="0.2">
      <c r="A128" s="5" t="s">
        <v>418</v>
      </c>
      <c r="B128" s="39">
        <f>SUMIFS('2. XuatKho'!$F$5:$F$254,'2. XuatKho'!$D$5:$D$254,$A128)</f>
        <v>0</v>
      </c>
      <c r="C128" s="35">
        <f>SUMIFS('2. XuatKho'!$I$5:$I$254,'2. XuatKho'!$D$5:$D$254,$A128)</f>
        <v>0</v>
      </c>
      <c r="D128" s="39">
        <f>COUNTIFS('2. XuatKho'!$D$5:$D$254,$A128)</f>
        <v>0</v>
      </c>
    </row>
    <row r="129" spans="1:4" x14ac:dyDescent="0.2">
      <c r="A129" s="5" t="s">
        <v>419</v>
      </c>
      <c r="B129" s="39">
        <f>SUMIFS('2. XuatKho'!$F$5:$F$254,'2. XuatKho'!$D$5:$D$254,$A129)</f>
        <v>0</v>
      </c>
      <c r="C129" s="35">
        <f>SUMIFS('2. XuatKho'!$I$5:$I$254,'2. XuatKho'!$D$5:$D$254,$A129)</f>
        <v>0</v>
      </c>
      <c r="D129" s="39">
        <f>COUNTIFS('2. XuatKho'!$D$5:$D$254,$A129)</f>
        <v>0</v>
      </c>
    </row>
    <row r="130" spans="1:4" x14ac:dyDescent="0.2">
      <c r="A130" s="5" t="s">
        <v>420</v>
      </c>
      <c r="B130" s="39">
        <f>SUMIFS('2. XuatKho'!$F$5:$F$254,'2. XuatKho'!$D$5:$D$254,$A130)</f>
        <v>0</v>
      </c>
      <c r="C130" s="35">
        <f>SUMIFS('2. XuatKho'!$I$5:$I$254,'2. XuatKho'!$D$5:$D$254,$A130)</f>
        <v>0</v>
      </c>
      <c r="D130" s="39">
        <f>COUNTIFS('2. XuatKho'!$D$5:$D$254,$A130)</f>
        <v>0</v>
      </c>
    </row>
    <row r="131" spans="1:4" x14ac:dyDescent="0.2">
      <c r="A131" s="5" t="s">
        <v>421</v>
      </c>
      <c r="B131" s="39">
        <f>SUMIFS('2. XuatKho'!$F$5:$F$254,'2. XuatKho'!$D$5:$D$254,$A131)</f>
        <v>0</v>
      </c>
      <c r="C131" s="35">
        <f>SUMIFS('2. XuatKho'!$I$5:$I$254,'2. XuatKho'!$D$5:$D$254,$A131)</f>
        <v>0</v>
      </c>
      <c r="D131" s="39">
        <f>COUNTIFS('2. XuatKho'!$D$5:$D$254,$A131)</f>
        <v>0</v>
      </c>
    </row>
    <row r="132" spans="1:4" x14ac:dyDescent="0.2">
      <c r="A132" s="5" t="s">
        <v>422</v>
      </c>
      <c r="B132" s="39">
        <f>SUMIFS('2. XuatKho'!$F$5:$F$254,'2. XuatKho'!$D$5:$D$254,$A132)</f>
        <v>0</v>
      </c>
      <c r="C132" s="35">
        <f>SUMIFS('2. XuatKho'!$I$5:$I$254,'2. XuatKho'!$D$5:$D$254,$A132)</f>
        <v>0</v>
      </c>
      <c r="D132" s="39">
        <f>COUNTIFS('2. XuatKho'!$D$5:$D$254,$A132)</f>
        <v>0</v>
      </c>
    </row>
    <row r="133" spans="1:4" x14ac:dyDescent="0.2">
      <c r="A133" s="5" t="s">
        <v>423</v>
      </c>
      <c r="B133" s="39">
        <f>SUMIFS('2. XuatKho'!$F$5:$F$254,'2. XuatKho'!$D$5:$D$254,$A133)</f>
        <v>0</v>
      </c>
      <c r="C133" s="35">
        <f>SUMIFS('2. XuatKho'!$I$5:$I$254,'2. XuatKho'!$D$5:$D$254,$A133)</f>
        <v>0</v>
      </c>
      <c r="D133" s="39">
        <f>COUNTIFS('2. XuatKho'!$D$5:$D$254,$A133)</f>
        <v>0</v>
      </c>
    </row>
    <row r="134" spans="1:4" x14ac:dyDescent="0.2">
      <c r="A134" s="5" t="s">
        <v>424</v>
      </c>
      <c r="B134" s="39">
        <f>SUMIFS('2. XuatKho'!$F$5:$F$254,'2. XuatKho'!$D$5:$D$254,$A134)</f>
        <v>0</v>
      </c>
      <c r="C134" s="35">
        <f>SUMIFS('2. XuatKho'!$I$5:$I$254,'2. XuatKho'!$D$5:$D$254,$A134)</f>
        <v>0</v>
      </c>
      <c r="D134" s="39">
        <f>COUNTIFS('2. XuatKho'!$D$5:$D$254,$A134)</f>
        <v>0</v>
      </c>
    </row>
    <row r="136" spans="1:4" x14ac:dyDescent="0.2">
      <c r="A136" s="28" t="s">
        <v>528</v>
      </c>
      <c r="B136" s="29">
        <f>SUM(B5:B134)</f>
        <v>0</v>
      </c>
      <c r="C136" s="42">
        <f>SUM(C5:C134)</f>
        <v>0</v>
      </c>
      <c r="D136" s="29">
        <f>SUM(D5:D134)</f>
        <v>0</v>
      </c>
    </row>
  </sheetData>
  <autoFilter ref="A4:D13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4" customWidth="1"/>
    <col min="2" max="2" width="10" customWidth="1"/>
    <col min="3" max="3" width="44" customWidth="1"/>
    <col min="4" max="5" width="13" customWidth="1"/>
    <col min="6" max="6" width="22" customWidth="1"/>
    <col min="7" max="7" width="20" customWidth="1"/>
    <col min="8" max="8" width="26" customWidth="1"/>
  </cols>
  <sheetData>
    <row r="1" spans="1:8" ht="18" customHeight="1" x14ac:dyDescent="0.2">
      <c r="A1" s="1" t="s">
        <v>557</v>
      </c>
    </row>
    <row r="2" spans="1:8" x14ac:dyDescent="0.2">
      <c r="A2" s="2" t="s">
        <v>558</v>
      </c>
    </row>
    <row r="4" spans="1:8" ht="36" customHeight="1" x14ac:dyDescent="0.2">
      <c r="A4" s="10" t="s">
        <v>559</v>
      </c>
      <c r="B4" s="10" t="s">
        <v>44</v>
      </c>
      <c r="C4" s="10" t="s">
        <v>560</v>
      </c>
      <c r="D4" s="10" t="s">
        <v>561</v>
      </c>
      <c r="E4" s="10" t="s">
        <v>562</v>
      </c>
      <c r="F4" s="10" t="s">
        <v>563</v>
      </c>
      <c r="G4" s="10" t="s">
        <v>564</v>
      </c>
      <c r="H4" s="10" t="s">
        <v>437</v>
      </c>
    </row>
    <row r="5" spans="1:8" x14ac:dyDescent="0.2">
      <c r="A5" s="5" t="s">
        <v>565</v>
      </c>
      <c r="B5" s="13" t="s">
        <v>231</v>
      </c>
      <c r="C5" s="14" t="s">
        <v>566</v>
      </c>
      <c r="D5" s="43">
        <v>22</v>
      </c>
      <c r="E5" s="43">
        <v>1</v>
      </c>
      <c r="F5" s="11"/>
      <c r="G5" s="11"/>
      <c r="H5" s="24"/>
    </row>
    <row r="6" spans="1:8" x14ac:dyDescent="0.2">
      <c r="A6" s="5" t="s">
        <v>567</v>
      </c>
      <c r="B6" s="13"/>
      <c r="C6" s="14" t="s">
        <v>568</v>
      </c>
      <c r="D6" s="43">
        <v>22</v>
      </c>
      <c r="E6" s="43">
        <v>1</v>
      </c>
      <c r="F6" s="11"/>
      <c r="G6" s="11"/>
      <c r="H6" s="24"/>
    </row>
    <row r="7" spans="1:8" x14ac:dyDescent="0.2">
      <c r="A7" s="5" t="s">
        <v>569</v>
      </c>
      <c r="B7" s="13"/>
      <c r="C7" s="14"/>
      <c r="D7" s="43">
        <v>21</v>
      </c>
      <c r="E7" s="43">
        <v>6</v>
      </c>
      <c r="F7" s="11"/>
      <c r="G7" s="11"/>
      <c r="H7" s="24"/>
    </row>
    <row r="8" spans="1:8" x14ac:dyDescent="0.2">
      <c r="A8" s="5" t="s">
        <v>248</v>
      </c>
      <c r="B8" s="13" t="s">
        <v>74</v>
      </c>
      <c r="C8" s="14" t="s">
        <v>570</v>
      </c>
      <c r="D8" s="43">
        <v>16</v>
      </c>
      <c r="E8" s="43">
        <v>8</v>
      </c>
      <c r="F8" s="11"/>
      <c r="G8" s="11"/>
      <c r="H8" s="24"/>
    </row>
    <row r="9" spans="1:8" x14ac:dyDescent="0.2">
      <c r="A9" s="5" t="s">
        <v>571</v>
      </c>
      <c r="B9" s="13" t="s">
        <v>86</v>
      </c>
      <c r="C9" s="14" t="s">
        <v>572</v>
      </c>
      <c r="D9" s="43">
        <v>16</v>
      </c>
      <c r="E9" s="43">
        <v>1</v>
      </c>
      <c r="F9" s="11"/>
      <c r="G9" s="11"/>
      <c r="H9" s="24"/>
    </row>
    <row r="10" spans="1:8" x14ac:dyDescent="0.2">
      <c r="A10" s="5" t="s">
        <v>573</v>
      </c>
      <c r="B10" s="13" t="s">
        <v>74</v>
      </c>
      <c r="C10" s="14" t="s">
        <v>574</v>
      </c>
      <c r="D10" s="43">
        <v>14</v>
      </c>
      <c r="E10" s="43">
        <v>12</v>
      </c>
      <c r="F10" s="11"/>
      <c r="G10" s="11"/>
      <c r="H10" s="24"/>
    </row>
    <row r="11" spans="1:8" x14ac:dyDescent="0.2">
      <c r="A11" s="5" t="s">
        <v>575</v>
      </c>
      <c r="B11" s="13" t="s">
        <v>74</v>
      </c>
      <c r="C11" s="14" t="s">
        <v>576</v>
      </c>
      <c r="D11" s="43">
        <v>12</v>
      </c>
      <c r="E11" s="43">
        <v>10</v>
      </c>
      <c r="F11" s="11"/>
      <c r="G11" s="11"/>
      <c r="H11" s="24"/>
    </row>
    <row r="12" spans="1:8" x14ac:dyDescent="0.2">
      <c r="A12" s="5" t="s">
        <v>577</v>
      </c>
      <c r="B12" s="13" t="s">
        <v>74</v>
      </c>
      <c r="C12" s="14" t="s">
        <v>578</v>
      </c>
      <c r="D12" s="43">
        <v>12</v>
      </c>
      <c r="E12" s="43">
        <v>1</v>
      </c>
      <c r="F12" s="11"/>
      <c r="G12" s="11"/>
      <c r="H12" s="24"/>
    </row>
    <row r="13" spans="1:8" x14ac:dyDescent="0.2">
      <c r="A13" s="5" t="s">
        <v>579</v>
      </c>
      <c r="B13" s="13" t="s">
        <v>74</v>
      </c>
      <c r="C13" s="14" t="s">
        <v>580</v>
      </c>
      <c r="D13" s="43">
        <v>12</v>
      </c>
      <c r="E13" s="43">
        <v>2</v>
      </c>
      <c r="F13" s="11"/>
      <c r="G13" s="11"/>
      <c r="H13" s="24"/>
    </row>
    <row r="14" spans="1:8" x14ac:dyDescent="0.2">
      <c r="A14" s="5" t="s">
        <v>577</v>
      </c>
      <c r="B14" s="13" t="s">
        <v>86</v>
      </c>
      <c r="C14" s="14" t="s">
        <v>581</v>
      </c>
      <c r="D14" s="43">
        <v>10</v>
      </c>
      <c r="E14" s="43">
        <v>8</v>
      </c>
      <c r="F14" s="11"/>
      <c r="G14" s="11"/>
      <c r="H14" s="24"/>
    </row>
    <row r="15" spans="1:8" x14ac:dyDescent="0.2">
      <c r="A15" s="5" t="s">
        <v>199</v>
      </c>
      <c r="B15" s="13" t="s">
        <v>74</v>
      </c>
      <c r="C15" s="14" t="s">
        <v>574</v>
      </c>
      <c r="D15" s="43">
        <v>9</v>
      </c>
      <c r="E15" s="43">
        <v>7</v>
      </c>
      <c r="F15" s="11"/>
      <c r="G15" s="11"/>
      <c r="H15" s="24"/>
    </row>
    <row r="16" spans="1:8" x14ac:dyDescent="0.2">
      <c r="A16" s="5" t="s">
        <v>248</v>
      </c>
      <c r="B16" s="13" t="s">
        <v>74</v>
      </c>
      <c r="C16" s="14" t="s">
        <v>582</v>
      </c>
      <c r="D16" s="43">
        <v>8</v>
      </c>
      <c r="E16" s="43">
        <v>1</v>
      </c>
      <c r="F16" s="11"/>
      <c r="G16" s="11"/>
      <c r="H16" s="24"/>
    </row>
    <row r="17" spans="1:8" x14ac:dyDescent="0.2">
      <c r="A17" s="5" t="s">
        <v>583</v>
      </c>
      <c r="B17" s="13" t="s">
        <v>74</v>
      </c>
      <c r="C17" s="14" t="s">
        <v>584</v>
      </c>
      <c r="D17" s="43">
        <v>7</v>
      </c>
      <c r="E17" s="43">
        <v>1</v>
      </c>
      <c r="F17" s="11"/>
      <c r="G17" s="11"/>
      <c r="H17" s="24"/>
    </row>
    <row r="18" spans="1:8" x14ac:dyDescent="0.2">
      <c r="A18" s="5" t="s">
        <v>154</v>
      </c>
      <c r="B18" s="13" t="s">
        <v>86</v>
      </c>
      <c r="C18" s="14" t="s">
        <v>581</v>
      </c>
      <c r="D18" s="43">
        <v>6</v>
      </c>
      <c r="E18" s="43">
        <v>5</v>
      </c>
      <c r="F18" s="11"/>
      <c r="G18" s="11"/>
      <c r="H18" s="24"/>
    </row>
    <row r="19" spans="1:8" x14ac:dyDescent="0.2">
      <c r="A19" s="5" t="s">
        <v>67</v>
      </c>
      <c r="B19" s="13"/>
      <c r="C19" s="14"/>
      <c r="D19" s="43">
        <v>6</v>
      </c>
      <c r="E19" s="43">
        <v>1</v>
      </c>
      <c r="F19" s="11"/>
      <c r="G19" s="11"/>
      <c r="H19" s="24"/>
    </row>
    <row r="20" spans="1:8" x14ac:dyDescent="0.2">
      <c r="A20" s="5" t="s">
        <v>585</v>
      </c>
      <c r="B20" s="13" t="s">
        <v>86</v>
      </c>
      <c r="C20" s="14" t="s">
        <v>574</v>
      </c>
      <c r="D20" s="43">
        <v>6</v>
      </c>
      <c r="E20" s="43">
        <v>2</v>
      </c>
      <c r="F20" s="11"/>
      <c r="G20" s="11"/>
      <c r="H20" s="24"/>
    </row>
    <row r="21" spans="1:8" ht="26" customHeight="1" x14ac:dyDescent="0.2">
      <c r="A21" s="5" t="s">
        <v>248</v>
      </c>
      <c r="B21" s="13" t="s">
        <v>86</v>
      </c>
      <c r="C21" s="14" t="s">
        <v>586</v>
      </c>
      <c r="D21" s="43">
        <v>6</v>
      </c>
      <c r="E21" s="43">
        <v>2</v>
      </c>
      <c r="F21" s="11"/>
      <c r="G21" s="11"/>
      <c r="H21" s="24"/>
    </row>
    <row r="22" spans="1:8" x14ac:dyDescent="0.2">
      <c r="A22" s="5" t="s">
        <v>587</v>
      </c>
      <c r="B22" s="13" t="s">
        <v>74</v>
      </c>
      <c r="C22" s="14" t="s">
        <v>588</v>
      </c>
      <c r="D22" s="43">
        <v>6</v>
      </c>
      <c r="E22" s="43">
        <v>1</v>
      </c>
      <c r="F22" s="11"/>
      <c r="G22" s="11"/>
      <c r="H22" s="24"/>
    </row>
    <row r="23" spans="1:8" x14ac:dyDescent="0.2">
      <c r="A23" s="5" t="s">
        <v>589</v>
      </c>
      <c r="B23" s="13"/>
      <c r="C23" s="14"/>
      <c r="D23" s="43">
        <v>6</v>
      </c>
      <c r="E23" s="43">
        <v>1</v>
      </c>
      <c r="F23" s="11"/>
      <c r="G23" s="11"/>
      <c r="H23" s="24"/>
    </row>
    <row r="24" spans="1:8" x14ac:dyDescent="0.2">
      <c r="A24" s="5" t="s">
        <v>590</v>
      </c>
      <c r="B24" s="13" t="s">
        <v>74</v>
      </c>
      <c r="C24" s="14" t="s">
        <v>584</v>
      </c>
      <c r="D24" s="43">
        <v>6</v>
      </c>
      <c r="E24" s="43">
        <v>2</v>
      </c>
      <c r="F24" s="11"/>
      <c r="G24" s="11"/>
      <c r="H24" s="24"/>
    </row>
    <row r="25" spans="1:8" x14ac:dyDescent="0.2">
      <c r="A25" s="5" t="s">
        <v>237</v>
      </c>
      <c r="B25" s="13" t="s">
        <v>74</v>
      </c>
      <c r="C25" s="14" t="s">
        <v>591</v>
      </c>
      <c r="D25" s="43">
        <v>6</v>
      </c>
      <c r="E25" s="43">
        <v>3</v>
      </c>
      <c r="F25" s="11"/>
      <c r="G25" s="11"/>
      <c r="H25" s="24"/>
    </row>
    <row r="26" spans="1:8" x14ac:dyDescent="0.2">
      <c r="A26" s="5" t="s">
        <v>592</v>
      </c>
      <c r="B26" s="13" t="s">
        <v>74</v>
      </c>
      <c r="C26" s="14" t="s">
        <v>574</v>
      </c>
      <c r="D26" s="43">
        <v>5</v>
      </c>
      <c r="E26" s="43">
        <v>1</v>
      </c>
      <c r="F26" s="11"/>
      <c r="G26" s="11"/>
      <c r="H26" s="24"/>
    </row>
    <row r="27" spans="1:8" x14ac:dyDescent="0.2">
      <c r="A27" s="5" t="s">
        <v>577</v>
      </c>
      <c r="B27" s="13" t="s">
        <v>86</v>
      </c>
      <c r="C27" s="14" t="s">
        <v>578</v>
      </c>
      <c r="D27" s="43">
        <v>5</v>
      </c>
      <c r="E27" s="43">
        <v>5</v>
      </c>
      <c r="F27" s="11"/>
      <c r="G27" s="11"/>
      <c r="H27" s="24"/>
    </row>
    <row r="28" spans="1:8" x14ac:dyDescent="0.2">
      <c r="A28" s="5" t="s">
        <v>199</v>
      </c>
      <c r="B28" s="13" t="s">
        <v>74</v>
      </c>
      <c r="C28" s="14" t="s">
        <v>593</v>
      </c>
      <c r="D28" s="43">
        <v>5</v>
      </c>
      <c r="E28" s="43">
        <v>5</v>
      </c>
      <c r="F28" s="11"/>
      <c r="G28" s="11"/>
      <c r="H28" s="24"/>
    </row>
    <row r="29" spans="1:8" x14ac:dyDescent="0.2">
      <c r="A29" s="5" t="s">
        <v>594</v>
      </c>
      <c r="B29" s="13" t="s">
        <v>70</v>
      </c>
      <c r="C29" s="14" t="s">
        <v>581</v>
      </c>
      <c r="D29" s="43">
        <v>5</v>
      </c>
      <c r="E29" s="43">
        <v>1</v>
      </c>
      <c r="F29" s="11"/>
      <c r="G29" s="11"/>
      <c r="H29" s="24"/>
    </row>
    <row r="30" spans="1:8" x14ac:dyDescent="0.2">
      <c r="A30" s="5" t="s">
        <v>595</v>
      </c>
      <c r="B30" s="13" t="s">
        <v>86</v>
      </c>
      <c r="C30" s="14" t="s">
        <v>581</v>
      </c>
      <c r="D30" s="43">
        <v>5</v>
      </c>
      <c r="E30" s="43">
        <v>4</v>
      </c>
      <c r="F30" s="11"/>
      <c r="G30" s="11"/>
      <c r="H30" s="24"/>
    </row>
    <row r="31" spans="1:8" x14ac:dyDescent="0.2">
      <c r="A31" s="5" t="s">
        <v>595</v>
      </c>
      <c r="B31" s="13" t="s">
        <v>86</v>
      </c>
      <c r="C31" s="14" t="s">
        <v>596</v>
      </c>
      <c r="D31" s="43">
        <v>5</v>
      </c>
      <c r="E31" s="43">
        <v>1</v>
      </c>
      <c r="F31" s="11"/>
      <c r="G31" s="11"/>
      <c r="H31" s="24"/>
    </row>
    <row r="32" spans="1:8" x14ac:dyDescent="0.2">
      <c r="A32" s="5" t="s">
        <v>214</v>
      </c>
      <c r="B32" s="13" t="s">
        <v>70</v>
      </c>
      <c r="C32" s="14" t="s">
        <v>581</v>
      </c>
      <c r="D32" s="43">
        <v>5</v>
      </c>
      <c r="E32" s="43">
        <v>1</v>
      </c>
      <c r="F32" s="11"/>
      <c r="G32" s="11"/>
      <c r="H32" s="24"/>
    </row>
    <row r="33" spans="1:8" x14ac:dyDescent="0.2">
      <c r="A33" s="5" t="s">
        <v>597</v>
      </c>
      <c r="B33" s="13" t="s">
        <v>74</v>
      </c>
      <c r="C33" s="14" t="s">
        <v>598</v>
      </c>
      <c r="D33" s="43">
        <v>4</v>
      </c>
      <c r="E33" s="43">
        <v>4</v>
      </c>
      <c r="F33" s="11"/>
      <c r="G33" s="11"/>
      <c r="H33" s="24"/>
    </row>
    <row r="34" spans="1:8" x14ac:dyDescent="0.2">
      <c r="A34" s="5" t="s">
        <v>199</v>
      </c>
      <c r="B34" s="13" t="s">
        <v>86</v>
      </c>
      <c r="C34" s="14" t="s">
        <v>574</v>
      </c>
      <c r="D34" s="43">
        <v>4</v>
      </c>
      <c r="E34" s="43">
        <v>2</v>
      </c>
      <c r="F34" s="11"/>
      <c r="G34" s="11"/>
      <c r="H34" s="24"/>
    </row>
    <row r="35" spans="1:8" x14ac:dyDescent="0.2">
      <c r="A35" s="5" t="s">
        <v>188</v>
      </c>
      <c r="B35" s="13" t="s">
        <v>92</v>
      </c>
      <c r="C35" s="14" t="s">
        <v>599</v>
      </c>
      <c r="D35" s="43">
        <v>4</v>
      </c>
      <c r="E35" s="43">
        <v>3</v>
      </c>
      <c r="F35" s="11"/>
      <c r="G35" s="11"/>
      <c r="H35" s="24"/>
    </row>
    <row r="36" spans="1:8" ht="28" x14ac:dyDescent="0.2">
      <c r="A36" s="5" t="s">
        <v>600</v>
      </c>
      <c r="B36" s="13" t="s">
        <v>49</v>
      </c>
      <c r="C36" s="14" t="s">
        <v>601</v>
      </c>
      <c r="D36" s="43">
        <v>4</v>
      </c>
      <c r="E36" s="43">
        <v>1</v>
      </c>
      <c r="F36" s="44" t="s">
        <v>58</v>
      </c>
      <c r="G36" s="11"/>
      <c r="H36" s="24" t="s">
        <v>602</v>
      </c>
    </row>
    <row r="37" spans="1:8" ht="28" x14ac:dyDescent="0.2">
      <c r="A37" s="5" t="s">
        <v>600</v>
      </c>
      <c r="B37" s="13" t="s">
        <v>49</v>
      </c>
      <c r="C37" s="14" t="s">
        <v>603</v>
      </c>
      <c r="D37" s="43">
        <v>4</v>
      </c>
      <c r="E37" s="43">
        <v>1</v>
      </c>
      <c r="F37" s="44" t="s">
        <v>58</v>
      </c>
      <c r="G37" s="11"/>
      <c r="H37" s="24" t="s">
        <v>602</v>
      </c>
    </row>
    <row r="38" spans="1:8" x14ac:dyDescent="0.2">
      <c r="A38" s="5" t="s">
        <v>577</v>
      </c>
      <c r="B38" s="13" t="s">
        <v>86</v>
      </c>
      <c r="C38" s="14" t="s">
        <v>604</v>
      </c>
      <c r="D38" s="43">
        <v>4</v>
      </c>
      <c r="E38" s="43">
        <v>1</v>
      </c>
      <c r="F38" s="11"/>
      <c r="G38" s="11"/>
      <c r="H38" s="24"/>
    </row>
    <row r="39" spans="1:8" x14ac:dyDescent="0.2">
      <c r="A39" s="5" t="s">
        <v>605</v>
      </c>
      <c r="B39" s="13" t="s">
        <v>86</v>
      </c>
      <c r="C39" s="14" t="s">
        <v>606</v>
      </c>
      <c r="D39" s="43">
        <v>4</v>
      </c>
      <c r="E39" s="43">
        <v>1</v>
      </c>
      <c r="F39" s="11"/>
      <c r="G39" s="11"/>
      <c r="H39" s="24"/>
    </row>
    <row r="40" spans="1:8" x14ac:dyDescent="0.2">
      <c r="A40" s="5" t="s">
        <v>220</v>
      </c>
      <c r="B40" s="13" t="s">
        <v>74</v>
      </c>
      <c r="C40" s="14" t="s">
        <v>607</v>
      </c>
      <c r="D40" s="43">
        <v>3</v>
      </c>
      <c r="E40" s="43">
        <v>2</v>
      </c>
      <c r="F40" s="11"/>
      <c r="G40" s="11"/>
      <c r="H40" s="24"/>
    </row>
    <row r="41" spans="1:8" x14ac:dyDescent="0.2">
      <c r="A41" s="5" t="s">
        <v>188</v>
      </c>
      <c r="B41" s="13" t="s">
        <v>74</v>
      </c>
      <c r="C41" s="14" t="s">
        <v>599</v>
      </c>
      <c r="D41" s="43">
        <v>3</v>
      </c>
      <c r="E41" s="43">
        <v>3</v>
      </c>
      <c r="F41" s="11"/>
      <c r="G41" s="11"/>
      <c r="H41" s="24"/>
    </row>
    <row r="42" spans="1:8" x14ac:dyDescent="0.2">
      <c r="A42" s="5" t="s">
        <v>608</v>
      </c>
      <c r="B42" s="13" t="s">
        <v>609</v>
      </c>
      <c r="C42" s="14" t="s">
        <v>610</v>
      </c>
      <c r="D42" s="43">
        <v>3</v>
      </c>
      <c r="E42" s="43">
        <v>1</v>
      </c>
      <c r="F42" s="11"/>
      <c r="G42" s="11"/>
      <c r="H42" s="24"/>
    </row>
    <row r="43" spans="1:8" ht="28" x14ac:dyDescent="0.2">
      <c r="A43" s="5" t="s">
        <v>611</v>
      </c>
      <c r="B43" s="13" t="s">
        <v>612</v>
      </c>
      <c r="C43" s="14" t="s">
        <v>613</v>
      </c>
      <c r="D43" s="43">
        <v>3</v>
      </c>
      <c r="E43" s="43">
        <v>3</v>
      </c>
      <c r="F43" s="44" t="s">
        <v>46</v>
      </c>
      <c r="G43" s="11"/>
      <c r="H43" s="24" t="s">
        <v>602</v>
      </c>
    </row>
    <row r="44" spans="1:8" x14ac:dyDescent="0.2">
      <c r="A44" s="5" t="s">
        <v>614</v>
      </c>
      <c r="B44" s="13"/>
      <c r="C44" s="14"/>
      <c r="D44" s="43">
        <v>3</v>
      </c>
      <c r="E44" s="43">
        <v>3</v>
      </c>
      <c r="F44" s="11"/>
      <c r="G44" s="11"/>
      <c r="H44" s="24"/>
    </row>
    <row r="45" spans="1:8" x14ac:dyDescent="0.2">
      <c r="A45" s="5" t="s">
        <v>615</v>
      </c>
      <c r="B45" s="13" t="s">
        <v>74</v>
      </c>
      <c r="C45" s="14" t="s">
        <v>616</v>
      </c>
      <c r="D45" s="43">
        <v>3</v>
      </c>
      <c r="E45" s="43">
        <v>1</v>
      </c>
      <c r="F45" s="11"/>
      <c r="G45" s="11"/>
      <c r="H45" s="24"/>
    </row>
    <row r="46" spans="1:8" x14ac:dyDescent="0.2">
      <c r="A46" s="5" t="s">
        <v>237</v>
      </c>
      <c r="B46" s="13" t="s">
        <v>92</v>
      </c>
      <c r="C46" s="14" t="s">
        <v>617</v>
      </c>
      <c r="D46" s="43">
        <v>3</v>
      </c>
      <c r="E46" s="43">
        <v>2</v>
      </c>
      <c r="F46" s="11"/>
      <c r="G46" s="11"/>
      <c r="H46" s="24"/>
    </row>
    <row r="47" spans="1:8" x14ac:dyDescent="0.2">
      <c r="A47" s="5" t="s">
        <v>237</v>
      </c>
      <c r="B47" s="13" t="s">
        <v>86</v>
      </c>
      <c r="C47" s="14" t="s">
        <v>618</v>
      </c>
      <c r="D47" s="43">
        <v>3</v>
      </c>
      <c r="E47" s="43">
        <v>1</v>
      </c>
      <c r="F47" s="11"/>
      <c r="G47" s="11"/>
      <c r="H47" s="24"/>
    </row>
    <row r="48" spans="1:8" x14ac:dyDescent="0.2">
      <c r="A48" s="5" t="s">
        <v>237</v>
      </c>
      <c r="B48" s="13" t="s">
        <v>86</v>
      </c>
      <c r="C48" s="14" t="s">
        <v>619</v>
      </c>
      <c r="D48" s="43">
        <v>3</v>
      </c>
      <c r="E48" s="43">
        <v>1</v>
      </c>
      <c r="F48" s="11"/>
      <c r="G48" s="11"/>
      <c r="H48" s="24"/>
    </row>
    <row r="49" spans="1:8" x14ac:dyDescent="0.2">
      <c r="A49" s="5" t="s">
        <v>579</v>
      </c>
      <c r="B49" s="13" t="s">
        <v>74</v>
      </c>
      <c r="C49" s="14" t="s">
        <v>620</v>
      </c>
      <c r="D49" s="43">
        <v>3</v>
      </c>
      <c r="E49" s="43">
        <v>3</v>
      </c>
      <c r="F49" s="11"/>
      <c r="G49" s="11"/>
      <c r="H49" s="24"/>
    </row>
    <row r="50" spans="1:8" x14ac:dyDescent="0.2">
      <c r="A50" s="5" t="s">
        <v>579</v>
      </c>
      <c r="B50" s="13" t="s">
        <v>74</v>
      </c>
      <c r="C50" s="14" t="s">
        <v>621</v>
      </c>
      <c r="D50" s="43">
        <v>3</v>
      </c>
      <c r="E50" s="43">
        <v>1</v>
      </c>
      <c r="F50" s="11"/>
      <c r="G50" s="11"/>
      <c r="H50" s="24"/>
    </row>
    <row r="51" spans="1:8" x14ac:dyDescent="0.2">
      <c r="A51" s="5" t="s">
        <v>622</v>
      </c>
      <c r="B51" s="13" t="s">
        <v>74</v>
      </c>
      <c r="C51" s="14" t="s">
        <v>574</v>
      </c>
      <c r="D51" s="43">
        <v>3</v>
      </c>
      <c r="E51" s="43">
        <v>3</v>
      </c>
      <c r="F51" s="11"/>
      <c r="G51" s="11"/>
      <c r="H51" s="24"/>
    </row>
    <row r="52" spans="1:8" x14ac:dyDescent="0.2">
      <c r="A52" s="5" t="s">
        <v>623</v>
      </c>
      <c r="B52" s="13"/>
      <c r="C52" s="14"/>
      <c r="D52" s="43">
        <v>3</v>
      </c>
      <c r="E52" s="43">
        <v>1</v>
      </c>
      <c r="F52" s="11"/>
      <c r="G52" s="11"/>
      <c r="H52" s="24"/>
    </row>
    <row r="53" spans="1:8" x14ac:dyDescent="0.2">
      <c r="A53" s="5" t="s">
        <v>220</v>
      </c>
      <c r="B53" s="13" t="s">
        <v>92</v>
      </c>
      <c r="C53" s="14" t="s">
        <v>624</v>
      </c>
      <c r="D53" s="43">
        <v>2</v>
      </c>
      <c r="E53" s="43">
        <v>1</v>
      </c>
      <c r="F53" s="11"/>
      <c r="G53" s="11"/>
      <c r="H53" s="24"/>
    </row>
    <row r="54" spans="1:8" x14ac:dyDescent="0.2">
      <c r="A54" s="5" t="s">
        <v>188</v>
      </c>
      <c r="B54" s="13" t="s">
        <v>92</v>
      </c>
      <c r="C54" s="14" t="s">
        <v>624</v>
      </c>
      <c r="D54" s="43">
        <v>2</v>
      </c>
      <c r="E54" s="43">
        <v>1</v>
      </c>
      <c r="F54" s="11"/>
      <c r="G54" s="11"/>
      <c r="H54" s="24"/>
    </row>
    <row r="55" spans="1:8" x14ac:dyDescent="0.2">
      <c r="A55" s="5" t="s">
        <v>90</v>
      </c>
      <c r="B55" s="13" t="s">
        <v>74</v>
      </c>
      <c r="C55" s="14" t="s">
        <v>625</v>
      </c>
      <c r="D55" s="43">
        <v>2</v>
      </c>
      <c r="E55" s="43">
        <v>1</v>
      </c>
      <c r="F55" s="11"/>
      <c r="G55" s="11"/>
      <c r="H55" s="24"/>
    </row>
    <row r="56" spans="1:8" x14ac:dyDescent="0.2">
      <c r="A56" s="5" t="s">
        <v>188</v>
      </c>
      <c r="B56" s="13" t="s">
        <v>74</v>
      </c>
      <c r="C56" s="14" t="s">
        <v>625</v>
      </c>
      <c r="D56" s="43">
        <v>2</v>
      </c>
      <c r="E56" s="43">
        <v>1</v>
      </c>
      <c r="F56" s="11"/>
      <c r="G56" s="11"/>
      <c r="H56" s="24"/>
    </row>
    <row r="57" spans="1:8" x14ac:dyDescent="0.2">
      <c r="A57" s="5" t="s">
        <v>199</v>
      </c>
      <c r="B57" s="13" t="s">
        <v>74</v>
      </c>
      <c r="C57" s="14" t="s">
        <v>626</v>
      </c>
      <c r="D57" s="43">
        <v>2</v>
      </c>
      <c r="E57" s="43">
        <v>1</v>
      </c>
      <c r="F57" s="11"/>
      <c r="G57" s="11"/>
      <c r="H57" s="24"/>
    </row>
    <row r="58" spans="1:8" x14ac:dyDescent="0.2">
      <c r="A58" s="5" t="s">
        <v>220</v>
      </c>
      <c r="B58" s="13" t="s">
        <v>86</v>
      </c>
      <c r="C58" s="14" t="s">
        <v>627</v>
      </c>
      <c r="D58" s="43">
        <v>2</v>
      </c>
      <c r="E58" s="43">
        <v>2</v>
      </c>
      <c r="F58" s="11"/>
      <c r="G58" s="11"/>
      <c r="H58" s="24"/>
    </row>
    <row r="59" spans="1:8" x14ac:dyDescent="0.2">
      <c r="A59" s="5" t="s">
        <v>575</v>
      </c>
      <c r="B59" s="13" t="s">
        <v>74</v>
      </c>
      <c r="C59" s="14" t="s">
        <v>628</v>
      </c>
      <c r="D59" s="43">
        <v>2</v>
      </c>
      <c r="E59" s="43">
        <v>2</v>
      </c>
      <c r="F59" s="11"/>
      <c r="G59" s="11"/>
      <c r="H59" s="24"/>
    </row>
    <row r="60" spans="1:8" x14ac:dyDescent="0.2">
      <c r="A60" s="5" t="s">
        <v>188</v>
      </c>
      <c r="B60" s="13" t="s">
        <v>86</v>
      </c>
      <c r="C60" s="14" t="s">
        <v>624</v>
      </c>
      <c r="D60" s="43">
        <v>2</v>
      </c>
      <c r="E60" s="43">
        <v>1</v>
      </c>
      <c r="F60" s="11"/>
      <c r="G60" s="11"/>
      <c r="H60" s="24"/>
    </row>
    <row r="61" spans="1:8" x14ac:dyDescent="0.2">
      <c r="A61" s="5" t="s">
        <v>128</v>
      </c>
      <c r="B61" s="13" t="s">
        <v>86</v>
      </c>
      <c r="C61" s="14" t="s">
        <v>599</v>
      </c>
      <c r="D61" s="43">
        <v>2</v>
      </c>
      <c r="E61" s="43">
        <v>1</v>
      </c>
      <c r="F61" s="11"/>
      <c r="G61" s="11"/>
      <c r="H61" s="24"/>
    </row>
    <row r="62" spans="1:8" x14ac:dyDescent="0.2">
      <c r="A62" s="5" t="s">
        <v>220</v>
      </c>
      <c r="B62" s="13" t="s">
        <v>86</v>
      </c>
      <c r="C62" s="14" t="s">
        <v>607</v>
      </c>
      <c r="D62" s="43">
        <v>2</v>
      </c>
      <c r="E62" s="43">
        <v>1</v>
      </c>
      <c r="F62" s="11"/>
      <c r="G62" s="11"/>
      <c r="H62" s="24"/>
    </row>
    <row r="63" spans="1:8" x14ac:dyDescent="0.2">
      <c r="A63" s="5" t="s">
        <v>629</v>
      </c>
      <c r="B63" s="13" t="s">
        <v>74</v>
      </c>
      <c r="C63" s="14" t="s">
        <v>576</v>
      </c>
      <c r="D63" s="43">
        <v>2</v>
      </c>
      <c r="E63" s="43">
        <v>2</v>
      </c>
      <c r="F63" s="11"/>
      <c r="G63" s="11"/>
      <c r="H63" s="24"/>
    </row>
    <row r="64" spans="1:8" x14ac:dyDescent="0.2">
      <c r="A64" s="5" t="s">
        <v>630</v>
      </c>
      <c r="B64" s="13" t="s">
        <v>74</v>
      </c>
      <c r="C64" s="14" t="s">
        <v>574</v>
      </c>
      <c r="D64" s="43">
        <v>2</v>
      </c>
      <c r="E64" s="43">
        <v>2</v>
      </c>
      <c r="F64" s="11"/>
      <c r="G64" s="11"/>
      <c r="H64" s="24"/>
    </row>
    <row r="65" spans="1:8" x14ac:dyDescent="0.2">
      <c r="A65" s="5" t="s">
        <v>631</v>
      </c>
      <c r="B65" s="13" t="s">
        <v>86</v>
      </c>
      <c r="C65" s="14" t="s">
        <v>581</v>
      </c>
      <c r="D65" s="43">
        <v>2</v>
      </c>
      <c r="E65" s="43">
        <v>2</v>
      </c>
      <c r="F65" s="11"/>
      <c r="G65" s="11"/>
      <c r="H65" s="24"/>
    </row>
    <row r="66" spans="1:8" ht="28" x14ac:dyDescent="0.2">
      <c r="A66" s="5" t="s">
        <v>632</v>
      </c>
      <c r="B66" s="13" t="s">
        <v>612</v>
      </c>
      <c r="C66" s="14" t="s">
        <v>633</v>
      </c>
      <c r="D66" s="43">
        <v>2</v>
      </c>
      <c r="E66" s="43">
        <v>2</v>
      </c>
      <c r="F66" s="44" t="s">
        <v>46</v>
      </c>
      <c r="G66" s="11"/>
      <c r="H66" s="24" t="s">
        <v>602</v>
      </c>
    </row>
    <row r="67" spans="1:8" ht="28" x14ac:dyDescent="0.2">
      <c r="A67" s="5" t="s">
        <v>634</v>
      </c>
      <c r="B67" s="13" t="s">
        <v>612</v>
      </c>
      <c r="C67" s="14" t="s">
        <v>635</v>
      </c>
      <c r="D67" s="43">
        <v>2</v>
      </c>
      <c r="E67" s="43">
        <v>2</v>
      </c>
      <c r="F67" s="44" t="s">
        <v>55</v>
      </c>
      <c r="G67" s="11"/>
      <c r="H67" s="24" t="s">
        <v>602</v>
      </c>
    </row>
    <row r="68" spans="1:8" ht="28" x14ac:dyDescent="0.2">
      <c r="A68" s="5" t="s">
        <v>636</v>
      </c>
      <c r="B68" s="13" t="s">
        <v>612</v>
      </c>
      <c r="C68" s="14" t="s">
        <v>637</v>
      </c>
      <c r="D68" s="43">
        <v>2</v>
      </c>
      <c r="E68" s="43">
        <v>2</v>
      </c>
      <c r="F68" s="44" t="s">
        <v>58</v>
      </c>
      <c r="G68" s="11"/>
      <c r="H68" s="24" t="s">
        <v>602</v>
      </c>
    </row>
    <row r="69" spans="1:8" x14ac:dyDescent="0.2">
      <c r="A69" s="5" t="s">
        <v>638</v>
      </c>
      <c r="B69" s="13" t="s">
        <v>86</v>
      </c>
      <c r="C69" s="14" t="s">
        <v>639</v>
      </c>
      <c r="D69" s="43">
        <v>2</v>
      </c>
      <c r="E69" s="43">
        <v>1</v>
      </c>
      <c r="F69" s="11"/>
      <c r="G69" s="11"/>
      <c r="H69" s="24"/>
    </row>
    <row r="70" spans="1:8" x14ac:dyDescent="0.2">
      <c r="A70" s="5" t="s">
        <v>258</v>
      </c>
      <c r="B70" s="13"/>
      <c r="C70" s="14"/>
      <c r="D70" s="43">
        <v>2</v>
      </c>
      <c r="E70" s="43">
        <v>1</v>
      </c>
      <c r="F70" s="11"/>
      <c r="G70" s="11"/>
      <c r="H70" s="24"/>
    </row>
    <row r="71" spans="1:8" x14ac:dyDescent="0.2">
      <c r="A71" s="5" t="s">
        <v>577</v>
      </c>
      <c r="B71" s="13"/>
      <c r="C71" s="14" t="s">
        <v>581</v>
      </c>
      <c r="D71" s="43">
        <v>2</v>
      </c>
      <c r="E71" s="43">
        <v>1</v>
      </c>
      <c r="F71" s="11"/>
      <c r="G71" s="11"/>
      <c r="H71" s="24"/>
    </row>
    <row r="72" spans="1:8" x14ac:dyDescent="0.2">
      <c r="A72" s="5" t="s">
        <v>585</v>
      </c>
      <c r="B72" s="13" t="s">
        <v>74</v>
      </c>
      <c r="C72" s="14" t="s">
        <v>574</v>
      </c>
      <c r="D72" s="43">
        <v>2</v>
      </c>
      <c r="E72" s="43">
        <v>2</v>
      </c>
      <c r="F72" s="11"/>
      <c r="G72" s="11"/>
      <c r="H72" s="24"/>
    </row>
    <row r="73" spans="1:8" x14ac:dyDescent="0.2">
      <c r="A73" s="5" t="s">
        <v>567</v>
      </c>
      <c r="B73" s="13" t="s">
        <v>74</v>
      </c>
      <c r="C73" s="14" t="s">
        <v>640</v>
      </c>
      <c r="D73" s="43">
        <v>2</v>
      </c>
      <c r="E73" s="43">
        <v>2</v>
      </c>
      <c r="F73" s="11"/>
      <c r="G73" s="11"/>
      <c r="H73" s="24"/>
    </row>
    <row r="74" spans="1:8" ht="28" x14ac:dyDescent="0.2">
      <c r="A74" s="5" t="s">
        <v>641</v>
      </c>
      <c r="B74" s="13" t="s">
        <v>612</v>
      </c>
      <c r="C74" s="14" t="s">
        <v>642</v>
      </c>
      <c r="D74" s="43">
        <v>2</v>
      </c>
      <c r="E74" s="43">
        <v>2</v>
      </c>
      <c r="F74" s="44" t="s">
        <v>52</v>
      </c>
      <c r="G74" s="11"/>
      <c r="H74" s="24" t="s">
        <v>602</v>
      </c>
    </row>
    <row r="75" spans="1:8" x14ac:dyDescent="0.2">
      <c r="A75" s="5" t="s">
        <v>575</v>
      </c>
      <c r="B75" s="13" t="s">
        <v>92</v>
      </c>
      <c r="C75" s="14" t="s">
        <v>643</v>
      </c>
      <c r="D75" s="43">
        <v>2</v>
      </c>
      <c r="E75" s="43">
        <v>1</v>
      </c>
      <c r="F75" s="11"/>
      <c r="G75" s="11"/>
      <c r="H75" s="24"/>
    </row>
    <row r="76" spans="1:8" x14ac:dyDescent="0.2">
      <c r="A76" s="5" t="s">
        <v>644</v>
      </c>
      <c r="B76" s="13" t="s">
        <v>92</v>
      </c>
      <c r="C76" s="14" t="s">
        <v>599</v>
      </c>
      <c r="D76" s="43">
        <v>2</v>
      </c>
      <c r="E76" s="43">
        <v>1</v>
      </c>
      <c r="F76" s="11"/>
      <c r="G76" s="11"/>
      <c r="H76" s="24"/>
    </row>
    <row r="77" spans="1:8" x14ac:dyDescent="0.2">
      <c r="A77" s="5" t="s">
        <v>154</v>
      </c>
      <c r="B77" s="13" t="s">
        <v>70</v>
      </c>
      <c r="C77" s="14" t="s">
        <v>645</v>
      </c>
      <c r="D77" s="43">
        <v>2</v>
      </c>
      <c r="E77" s="43">
        <v>1</v>
      </c>
      <c r="F77" s="11"/>
      <c r="G77" s="11"/>
      <c r="H77" s="24"/>
    </row>
    <row r="78" spans="1:8" x14ac:dyDescent="0.2">
      <c r="A78" s="5" t="s">
        <v>220</v>
      </c>
      <c r="B78" s="13" t="s">
        <v>74</v>
      </c>
      <c r="C78" s="14" t="s">
        <v>646</v>
      </c>
      <c r="D78" s="43">
        <v>2</v>
      </c>
      <c r="E78" s="43">
        <v>1</v>
      </c>
      <c r="F78" s="11"/>
      <c r="G78" s="11"/>
      <c r="H78" s="24"/>
    </row>
    <row r="79" spans="1:8" x14ac:dyDescent="0.2">
      <c r="A79" s="5" t="s">
        <v>170</v>
      </c>
      <c r="B79" s="13" t="s">
        <v>74</v>
      </c>
      <c r="C79" s="14" t="s">
        <v>646</v>
      </c>
      <c r="D79" s="43">
        <v>2</v>
      </c>
      <c r="E79" s="43">
        <v>1</v>
      </c>
      <c r="F79" s="11"/>
      <c r="G79" s="11"/>
      <c r="H79" s="24"/>
    </row>
    <row r="80" spans="1:8" x14ac:dyDescent="0.2">
      <c r="A80" s="5" t="s">
        <v>140</v>
      </c>
      <c r="B80" s="13" t="s">
        <v>74</v>
      </c>
      <c r="C80" s="14" t="s">
        <v>647</v>
      </c>
      <c r="D80" s="43">
        <v>2</v>
      </c>
      <c r="E80" s="43">
        <v>1</v>
      </c>
      <c r="F80" s="11"/>
      <c r="G80" s="11"/>
      <c r="H80" s="24"/>
    </row>
    <row r="81" spans="1:8" x14ac:dyDescent="0.2">
      <c r="A81" s="5" t="s">
        <v>166</v>
      </c>
      <c r="B81" s="13" t="s">
        <v>74</v>
      </c>
      <c r="C81" s="14" t="s">
        <v>648</v>
      </c>
      <c r="D81" s="43">
        <v>2</v>
      </c>
      <c r="E81" s="43">
        <v>1</v>
      </c>
      <c r="F81" s="11"/>
      <c r="G81" s="11"/>
      <c r="H81" s="24"/>
    </row>
    <row r="82" spans="1:8" x14ac:dyDescent="0.2">
      <c r="A82" s="5" t="s">
        <v>199</v>
      </c>
      <c r="B82" s="13" t="s">
        <v>92</v>
      </c>
      <c r="C82" s="14" t="s">
        <v>574</v>
      </c>
      <c r="D82" s="43">
        <v>2</v>
      </c>
      <c r="E82" s="43">
        <v>1</v>
      </c>
      <c r="F82" s="11"/>
      <c r="G82" s="11"/>
      <c r="H82" s="24"/>
    </row>
    <row r="83" spans="1:8" x14ac:dyDescent="0.2">
      <c r="A83" s="5" t="s">
        <v>237</v>
      </c>
      <c r="B83" s="13" t="s">
        <v>74</v>
      </c>
      <c r="C83" s="14" t="s">
        <v>570</v>
      </c>
      <c r="D83" s="43">
        <v>2</v>
      </c>
      <c r="E83" s="43">
        <v>1</v>
      </c>
      <c r="F83" s="11"/>
      <c r="G83" s="11"/>
      <c r="H83" s="24"/>
    </row>
    <row r="84" spans="1:8" ht="28" x14ac:dyDescent="0.2">
      <c r="A84" s="5" t="s">
        <v>649</v>
      </c>
      <c r="B84" s="13" t="s">
        <v>49</v>
      </c>
      <c r="C84" s="14"/>
      <c r="D84" s="43">
        <v>2</v>
      </c>
      <c r="E84" s="43">
        <v>2</v>
      </c>
      <c r="F84" s="44" t="s">
        <v>46</v>
      </c>
      <c r="G84" s="11"/>
      <c r="H84" s="24" t="s">
        <v>602</v>
      </c>
    </row>
    <row r="85" spans="1:8" x14ac:dyDescent="0.2">
      <c r="A85" s="5" t="s">
        <v>237</v>
      </c>
      <c r="B85" s="13"/>
      <c r="C85" s="14" t="s">
        <v>570</v>
      </c>
      <c r="D85" s="43">
        <v>2</v>
      </c>
      <c r="E85" s="43">
        <v>2</v>
      </c>
      <c r="F85" s="11"/>
      <c r="G85" s="11"/>
      <c r="H85" s="24"/>
    </row>
    <row r="86" spans="1:8" x14ac:dyDescent="0.2">
      <c r="A86" s="5" t="s">
        <v>140</v>
      </c>
      <c r="B86" s="13" t="s">
        <v>86</v>
      </c>
      <c r="C86" s="14" t="s">
        <v>650</v>
      </c>
      <c r="D86" s="43">
        <v>2</v>
      </c>
      <c r="E86" s="43">
        <v>1</v>
      </c>
      <c r="F86" s="11"/>
      <c r="G86" s="11"/>
      <c r="H86" s="24"/>
    </row>
    <row r="87" spans="1:8" x14ac:dyDescent="0.2">
      <c r="A87" s="5" t="s">
        <v>140</v>
      </c>
      <c r="B87" s="13" t="s">
        <v>86</v>
      </c>
      <c r="C87" s="14" t="s">
        <v>651</v>
      </c>
      <c r="D87" s="43">
        <v>2</v>
      </c>
      <c r="E87" s="43">
        <v>1</v>
      </c>
      <c r="F87" s="11"/>
      <c r="G87" s="11"/>
      <c r="H87" s="24"/>
    </row>
    <row r="88" spans="1:8" x14ac:dyDescent="0.2">
      <c r="A88" s="5" t="s">
        <v>166</v>
      </c>
      <c r="B88" s="13" t="s">
        <v>86</v>
      </c>
      <c r="C88" s="14" t="s">
        <v>652</v>
      </c>
      <c r="D88" s="43">
        <v>2</v>
      </c>
      <c r="E88" s="43">
        <v>1</v>
      </c>
      <c r="F88" s="11"/>
      <c r="G88" s="11"/>
      <c r="H88" s="24"/>
    </row>
    <row r="89" spans="1:8" x14ac:dyDescent="0.2">
      <c r="A89" s="5" t="s">
        <v>166</v>
      </c>
      <c r="B89" s="13" t="s">
        <v>86</v>
      </c>
      <c r="C89" s="14" t="s">
        <v>653</v>
      </c>
      <c r="D89" s="43">
        <v>2</v>
      </c>
      <c r="E89" s="43">
        <v>1</v>
      </c>
      <c r="F89" s="11"/>
      <c r="G89" s="11"/>
      <c r="H89" s="24"/>
    </row>
    <row r="90" spans="1:8" ht="28" x14ac:dyDescent="0.2">
      <c r="A90" s="5" t="s">
        <v>649</v>
      </c>
      <c r="B90" s="13" t="s">
        <v>612</v>
      </c>
      <c r="C90" s="14" t="s">
        <v>654</v>
      </c>
      <c r="D90" s="43">
        <v>2</v>
      </c>
      <c r="E90" s="43">
        <v>1</v>
      </c>
      <c r="F90" s="44" t="s">
        <v>46</v>
      </c>
      <c r="G90" s="11"/>
      <c r="H90" s="24" t="s">
        <v>602</v>
      </c>
    </row>
    <row r="91" spans="1:8" ht="28" x14ac:dyDescent="0.2">
      <c r="A91" s="5" t="s">
        <v>649</v>
      </c>
      <c r="B91" s="13" t="s">
        <v>612</v>
      </c>
      <c r="C91" s="14" t="s">
        <v>655</v>
      </c>
      <c r="D91" s="43">
        <v>2</v>
      </c>
      <c r="E91" s="43">
        <v>1</v>
      </c>
      <c r="F91" s="44" t="s">
        <v>46</v>
      </c>
      <c r="G91" s="11"/>
      <c r="H91" s="24" t="s">
        <v>602</v>
      </c>
    </row>
    <row r="92" spans="1:8" ht="28" x14ac:dyDescent="0.2">
      <c r="A92" s="5" t="s">
        <v>656</v>
      </c>
      <c r="B92" s="13" t="s">
        <v>612</v>
      </c>
      <c r="C92" s="14" t="s">
        <v>657</v>
      </c>
      <c r="D92" s="43">
        <v>2</v>
      </c>
      <c r="E92" s="43">
        <v>1</v>
      </c>
      <c r="F92" s="44" t="s">
        <v>55</v>
      </c>
      <c r="G92" s="11"/>
      <c r="H92" s="24" t="s">
        <v>602</v>
      </c>
    </row>
    <row r="93" spans="1:8" ht="28" x14ac:dyDescent="0.2">
      <c r="A93" s="5" t="s">
        <v>600</v>
      </c>
      <c r="B93" s="13" t="s">
        <v>612</v>
      </c>
      <c r="C93" s="14" t="s">
        <v>657</v>
      </c>
      <c r="D93" s="43">
        <v>2</v>
      </c>
      <c r="E93" s="43">
        <v>1</v>
      </c>
      <c r="F93" s="44" t="s">
        <v>58</v>
      </c>
      <c r="G93" s="11"/>
      <c r="H93" s="24" t="s">
        <v>602</v>
      </c>
    </row>
    <row r="94" spans="1:8" ht="28" x14ac:dyDescent="0.2">
      <c r="A94" s="5" t="s">
        <v>658</v>
      </c>
      <c r="B94" s="13" t="s">
        <v>612</v>
      </c>
      <c r="C94" s="14" t="s">
        <v>659</v>
      </c>
      <c r="D94" s="43">
        <v>2</v>
      </c>
      <c r="E94" s="43">
        <v>1</v>
      </c>
      <c r="F94" s="44" t="s">
        <v>52</v>
      </c>
      <c r="G94" s="11"/>
      <c r="H94" s="24" t="s">
        <v>602</v>
      </c>
    </row>
    <row r="95" spans="1:8" x14ac:dyDescent="0.2">
      <c r="A95" s="5" t="s">
        <v>106</v>
      </c>
      <c r="B95" s="13" t="s">
        <v>74</v>
      </c>
      <c r="C95" s="14" t="s">
        <v>660</v>
      </c>
      <c r="D95" s="43">
        <v>2</v>
      </c>
      <c r="E95" s="43">
        <v>1</v>
      </c>
      <c r="F95" s="11"/>
      <c r="G95" s="11"/>
      <c r="H95" s="24"/>
    </row>
    <row r="96" spans="1:8" x14ac:dyDescent="0.2">
      <c r="A96" s="5" t="s">
        <v>605</v>
      </c>
      <c r="B96" s="13" t="s">
        <v>86</v>
      </c>
      <c r="C96" s="14" t="s">
        <v>640</v>
      </c>
      <c r="D96" s="43">
        <v>2</v>
      </c>
      <c r="E96" s="43">
        <v>1</v>
      </c>
      <c r="F96" s="11"/>
      <c r="G96" s="11"/>
      <c r="H96" s="24"/>
    </row>
    <row r="97" spans="1:8" x14ac:dyDescent="0.2">
      <c r="A97" s="5" t="s">
        <v>661</v>
      </c>
      <c r="B97" s="13" t="s">
        <v>86</v>
      </c>
      <c r="C97" s="14"/>
      <c r="D97" s="43">
        <v>2</v>
      </c>
      <c r="E97" s="43">
        <v>1</v>
      </c>
      <c r="F97" s="11"/>
      <c r="G97" s="11"/>
      <c r="H97" s="24"/>
    </row>
    <row r="98" spans="1:8" x14ac:dyDescent="0.2">
      <c r="A98" s="5" t="s">
        <v>661</v>
      </c>
      <c r="B98" s="13" t="s">
        <v>86</v>
      </c>
      <c r="C98" s="14" t="s">
        <v>662</v>
      </c>
      <c r="D98" s="43">
        <v>2</v>
      </c>
      <c r="E98" s="43">
        <v>1</v>
      </c>
      <c r="F98" s="11"/>
      <c r="G98" s="11"/>
      <c r="H98" s="24"/>
    </row>
    <row r="99" spans="1:8" x14ac:dyDescent="0.2">
      <c r="A99" s="5" t="s">
        <v>605</v>
      </c>
      <c r="B99" s="13" t="s">
        <v>86</v>
      </c>
      <c r="C99" s="14" t="s">
        <v>663</v>
      </c>
      <c r="D99" s="43">
        <v>2</v>
      </c>
      <c r="E99" s="43">
        <v>1</v>
      </c>
      <c r="F99" s="11"/>
      <c r="G99" s="11"/>
      <c r="H99" s="24"/>
    </row>
    <row r="100" spans="1:8" x14ac:dyDescent="0.2">
      <c r="A100" s="5" t="s">
        <v>590</v>
      </c>
      <c r="B100" s="13" t="s">
        <v>74</v>
      </c>
      <c r="C100" s="14" t="s">
        <v>664</v>
      </c>
      <c r="D100" s="43">
        <v>2</v>
      </c>
      <c r="E100" s="43">
        <v>1</v>
      </c>
      <c r="F100" s="11"/>
      <c r="G100" s="11"/>
      <c r="H100" s="24"/>
    </row>
    <row r="101" spans="1:8" ht="28" x14ac:dyDescent="0.2">
      <c r="A101" s="5" t="s">
        <v>649</v>
      </c>
      <c r="B101" s="13" t="s">
        <v>49</v>
      </c>
      <c r="C101" s="14" t="s">
        <v>654</v>
      </c>
      <c r="D101" s="43">
        <v>2</v>
      </c>
      <c r="E101" s="43">
        <v>1</v>
      </c>
      <c r="F101" s="44" t="s">
        <v>46</v>
      </c>
      <c r="G101" s="11"/>
      <c r="H101" s="24" t="s">
        <v>602</v>
      </c>
    </row>
    <row r="102" spans="1:8" ht="28" x14ac:dyDescent="0.2">
      <c r="A102" s="5" t="s">
        <v>649</v>
      </c>
      <c r="B102" s="13" t="s">
        <v>49</v>
      </c>
      <c r="C102" s="14" t="s">
        <v>665</v>
      </c>
      <c r="D102" s="43">
        <v>2</v>
      </c>
      <c r="E102" s="43">
        <v>1</v>
      </c>
      <c r="F102" s="44" t="s">
        <v>46</v>
      </c>
      <c r="G102" s="11"/>
      <c r="H102" s="24" t="s">
        <v>602</v>
      </c>
    </row>
    <row r="103" spans="1:8" ht="28" x14ac:dyDescent="0.2">
      <c r="A103" s="5" t="s">
        <v>656</v>
      </c>
      <c r="B103" s="13" t="s">
        <v>49</v>
      </c>
      <c r="C103" s="14" t="s">
        <v>666</v>
      </c>
      <c r="D103" s="43">
        <v>2</v>
      </c>
      <c r="E103" s="43">
        <v>1</v>
      </c>
      <c r="F103" s="44" t="s">
        <v>55</v>
      </c>
      <c r="G103" s="11"/>
      <c r="H103" s="24" t="s">
        <v>602</v>
      </c>
    </row>
    <row r="104" spans="1:8" ht="28" x14ac:dyDescent="0.2">
      <c r="A104" s="5" t="s">
        <v>600</v>
      </c>
      <c r="B104" s="13" t="s">
        <v>49</v>
      </c>
      <c r="C104" s="14" t="s">
        <v>666</v>
      </c>
      <c r="D104" s="43">
        <v>2</v>
      </c>
      <c r="E104" s="43">
        <v>1</v>
      </c>
      <c r="F104" s="44" t="s">
        <v>58</v>
      </c>
      <c r="G104" s="11"/>
      <c r="H104" s="24" t="s">
        <v>602</v>
      </c>
    </row>
    <row r="105" spans="1:8" ht="28" x14ac:dyDescent="0.2">
      <c r="A105" s="5" t="s">
        <v>658</v>
      </c>
      <c r="B105" s="13" t="s">
        <v>49</v>
      </c>
      <c r="C105" s="14" t="s">
        <v>667</v>
      </c>
      <c r="D105" s="43">
        <v>2</v>
      </c>
      <c r="E105" s="43">
        <v>1</v>
      </c>
      <c r="F105" s="44" t="s">
        <v>52</v>
      </c>
      <c r="G105" s="11"/>
      <c r="H105" s="24" t="s">
        <v>602</v>
      </c>
    </row>
    <row r="106" spans="1:8" x14ac:dyDescent="0.2">
      <c r="A106" s="5" t="s">
        <v>668</v>
      </c>
      <c r="B106" s="13" t="s">
        <v>70</v>
      </c>
      <c r="C106" s="14"/>
      <c r="D106" s="43">
        <v>2</v>
      </c>
      <c r="E106" s="43">
        <v>1</v>
      </c>
      <c r="F106" s="11"/>
      <c r="G106" s="11"/>
      <c r="H106" s="24"/>
    </row>
    <row r="107" spans="1:8" x14ac:dyDescent="0.2">
      <c r="A107" s="5" t="s">
        <v>661</v>
      </c>
      <c r="B107" s="13" t="s">
        <v>74</v>
      </c>
      <c r="C107" s="14" t="s">
        <v>646</v>
      </c>
      <c r="D107" s="43">
        <v>2</v>
      </c>
      <c r="E107" s="43">
        <v>1</v>
      </c>
      <c r="F107" s="11"/>
      <c r="G107" s="11"/>
      <c r="H107" s="24"/>
    </row>
    <row r="108" spans="1:8" x14ac:dyDescent="0.2">
      <c r="A108" s="5" t="s">
        <v>669</v>
      </c>
      <c r="B108" s="13" t="s">
        <v>74</v>
      </c>
      <c r="C108" s="14" t="s">
        <v>646</v>
      </c>
      <c r="D108" s="43">
        <v>2</v>
      </c>
      <c r="E108" s="43">
        <v>1</v>
      </c>
      <c r="F108" s="11"/>
      <c r="G108" s="11"/>
      <c r="H108" s="24"/>
    </row>
    <row r="109" spans="1:8" x14ac:dyDescent="0.2">
      <c r="A109" s="5" t="s">
        <v>670</v>
      </c>
      <c r="B109" s="13" t="s">
        <v>74</v>
      </c>
      <c r="C109" s="14" t="s">
        <v>616</v>
      </c>
      <c r="D109" s="43">
        <v>2</v>
      </c>
      <c r="E109" s="43">
        <v>1</v>
      </c>
      <c r="F109" s="11"/>
      <c r="G109" s="11"/>
      <c r="H109" s="24"/>
    </row>
    <row r="110" spans="1:8" x14ac:dyDescent="0.2">
      <c r="A110" s="5" t="s">
        <v>671</v>
      </c>
      <c r="B110" s="13" t="s">
        <v>74</v>
      </c>
      <c r="C110" s="14" t="s">
        <v>648</v>
      </c>
      <c r="D110" s="43">
        <v>2</v>
      </c>
      <c r="E110" s="43">
        <v>1</v>
      </c>
      <c r="F110" s="11"/>
      <c r="G110" s="11"/>
      <c r="H110" s="24"/>
    </row>
    <row r="111" spans="1:8" x14ac:dyDescent="0.2">
      <c r="A111" s="5" t="s">
        <v>199</v>
      </c>
      <c r="B111" s="13" t="s">
        <v>74</v>
      </c>
      <c r="C111" s="14" t="s">
        <v>672</v>
      </c>
      <c r="D111" s="43">
        <v>2</v>
      </c>
      <c r="E111" s="43">
        <v>1</v>
      </c>
      <c r="F111" s="11"/>
      <c r="G111" s="11"/>
      <c r="H111" s="24"/>
    </row>
    <row r="112" spans="1:8" x14ac:dyDescent="0.2">
      <c r="A112" s="5" t="s">
        <v>248</v>
      </c>
      <c r="B112" s="13" t="s">
        <v>74</v>
      </c>
      <c r="C112" s="14" t="s">
        <v>673</v>
      </c>
      <c r="D112" s="43">
        <v>2</v>
      </c>
      <c r="E112" s="43">
        <v>1</v>
      </c>
      <c r="F112" s="11"/>
      <c r="G112" s="11"/>
      <c r="H112" s="24"/>
    </row>
    <row r="113" spans="1:8" x14ac:dyDescent="0.2">
      <c r="A113" s="5" t="s">
        <v>248</v>
      </c>
      <c r="B113" s="13" t="s">
        <v>74</v>
      </c>
      <c r="C113" s="14" t="s">
        <v>674</v>
      </c>
      <c r="D113" s="43">
        <v>2</v>
      </c>
      <c r="E113" s="43">
        <v>1</v>
      </c>
      <c r="F113" s="11"/>
      <c r="G113" s="11"/>
      <c r="H113" s="24"/>
    </row>
    <row r="114" spans="1:8" x14ac:dyDescent="0.2">
      <c r="A114" s="5" t="s">
        <v>90</v>
      </c>
      <c r="B114" s="13" t="s">
        <v>86</v>
      </c>
      <c r="C114" s="14" t="s">
        <v>627</v>
      </c>
      <c r="D114" s="43">
        <v>1</v>
      </c>
      <c r="E114" s="43">
        <v>1</v>
      </c>
      <c r="F114" s="11"/>
      <c r="G114" s="11"/>
      <c r="H114" s="24"/>
    </row>
    <row r="115" spans="1:8" x14ac:dyDescent="0.2">
      <c r="A115" s="5" t="s">
        <v>170</v>
      </c>
      <c r="B115" s="13" t="s">
        <v>86</v>
      </c>
      <c r="C115" s="14" t="s">
        <v>675</v>
      </c>
      <c r="D115" s="43">
        <v>1</v>
      </c>
      <c r="E115" s="43">
        <v>1</v>
      </c>
      <c r="F115" s="11"/>
      <c r="G115" s="11"/>
      <c r="H115" s="24"/>
    </row>
    <row r="116" spans="1:8" x14ac:dyDescent="0.2">
      <c r="A116" s="5" t="s">
        <v>575</v>
      </c>
      <c r="B116" s="13" t="s">
        <v>74</v>
      </c>
      <c r="C116" s="14" t="s">
        <v>676</v>
      </c>
      <c r="D116" s="43">
        <v>1</v>
      </c>
      <c r="E116" s="43">
        <v>1</v>
      </c>
      <c r="F116" s="11"/>
      <c r="G116" s="11"/>
      <c r="H116" s="24"/>
    </row>
    <row r="117" spans="1:8" x14ac:dyDescent="0.2">
      <c r="A117" s="5" t="s">
        <v>123</v>
      </c>
      <c r="B117" s="13" t="s">
        <v>86</v>
      </c>
      <c r="C117" s="14" t="s">
        <v>677</v>
      </c>
      <c r="D117" s="43">
        <v>1</v>
      </c>
      <c r="E117" s="43">
        <v>1</v>
      </c>
      <c r="F117" s="11"/>
      <c r="G117" s="11"/>
      <c r="H117" s="24"/>
    </row>
    <row r="118" spans="1:8" x14ac:dyDescent="0.2">
      <c r="A118" s="5" t="s">
        <v>678</v>
      </c>
      <c r="B118" s="13" t="s">
        <v>70</v>
      </c>
      <c r="C118" s="14" t="s">
        <v>679</v>
      </c>
      <c r="D118" s="43">
        <v>1</v>
      </c>
      <c r="E118" s="43">
        <v>1</v>
      </c>
      <c r="F118" s="11"/>
      <c r="G118" s="11"/>
      <c r="H118" s="24"/>
    </row>
    <row r="119" spans="1:8" x14ac:dyDescent="0.2">
      <c r="A119" s="5" t="s">
        <v>680</v>
      </c>
      <c r="B119" s="13" t="s">
        <v>70</v>
      </c>
      <c r="C119" s="14" t="s">
        <v>681</v>
      </c>
      <c r="D119" s="43">
        <v>1</v>
      </c>
      <c r="E119" s="43">
        <v>1</v>
      </c>
      <c r="F119" s="11"/>
      <c r="G119" s="11"/>
      <c r="H119" s="24"/>
    </row>
    <row r="120" spans="1:8" x14ac:dyDescent="0.2">
      <c r="A120" s="5" t="s">
        <v>682</v>
      </c>
      <c r="B120" s="13" t="s">
        <v>70</v>
      </c>
      <c r="C120" s="14" t="s">
        <v>683</v>
      </c>
      <c r="D120" s="43">
        <v>1</v>
      </c>
      <c r="E120" s="43">
        <v>1</v>
      </c>
      <c r="F120" s="11"/>
      <c r="G120" s="11"/>
      <c r="H120" s="24"/>
    </row>
    <row r="121" spans="1:8" x14ac:dyDescent="0.2">
      <c r="A121" s="5" t="s">
        <v>684</v>
      </c>
      <c r="B121" s="13" t="s">
        <v>70</v>
      </c>
      <c r="C121" s="14" t="s">
        <v>685</v>
      </c>
      <c r="D121" s="43">
        <v>1</v>
      </c>
      <c r="E121" s="43">
        <v>1</v>
      </c>
      <c r="F121" s="11"/>
      <c r="G121" s="11"/>
      <c r="H121" s="24"/>
    </row>
    <row r="122" spans="1:8" x14ac:dyDescent="0.2">
      <c r="A122" s="5" t="s">
        <v>630</v>
      </c>
      <c r="B122" s="13" t="s">
        <v>70</v>
      </c>
      <c r="C122" s="14" t="s">
        <v>686</v>
      </c>
      <c r="D122" s="43">
        <v>1</v>
      </c>
      <c r="E122" s="43">
        <v>1</v>
      </c>
      <c r="F122" s="11"/>
      <c r="G122" s="11"/>
      <c r="H122" s="24"/>
    </row>
    <row r="123" spans="1:8" x14ac:dyDescent="0.2">
      <c r="A123" s="5" t="s">
        <v>631</v>
      </c>
      <c r="B123" s="13" t="s">
        <v>86</v>
      </c>
      <c r="C123" s="14" t="s">
        <v>596</v>
      </c>
      <c r="D123" s="43">
        <v>1</v>
      </c>
      <c r="E123" s="43">
        <v>1</v>
      </c>
      <c r="F123" s="11"/>
      <c r="G123" s="11"/>
      <c r="H123" s="24"/>
    </row>
    <row r="124" spans="1:8" x14ac:dyDescent="0.2">
      <c r="A124" s="5" t="s">
        <v>687</v>
      </c>
      <c r="B124" s="13" t="s">
        <v>74</v>
      </c>
      <c r="C124" s="14" t="s">
        <v>598</v>
      </c>
      <c r="D124" s="43">
        <v>1</v>
      </c>
      <c r="E124" s="43">
        <v>1</v>
      </c>
      <c r="F124" s="11"/>
      <c r="G124" s="11"/>
      <c r="H124" s="24"/>
    </row>
    <row r="125" spans="1:8" x14ac:dyDescent="0.2">
      <c r="A125" s="5" t="s">
        <v>680</v>
      </c>
      <c r="B125" s="13" t="s">
        <v>74</v>
      </c>
      <c r="C125" s="14" t="s">
        <v>688</v>
      </c>
      <c r="D125" s="43">
        <v>1</v>
      </c>
      <c r="E125" s="43">
        <v>1</v>
      </c>
      <c r="F125" s="11"/>
      <c r="G125" s="11"/>
      <c r="H125" s="24"/>
    </row>
    <row r="126" spans="1:8" x14ac:dyDescent="0.2">
      <c r="A126" s="5" t="s">
        <v>682</v>
      </c>
      <c r="B126" s="13" t="s">
        <v>74</v>
      </c>
      <c r="C126" s="14" t="s">
        <v>689</v>
      </c>
      <c r="D126" s="43">
        <v>1</v>
      </c>
      <c r="E126" s="43">
        <v>1</v>
      </c>
      <c r="F126" s="11"/>
      <c r="G126" s="11"/>
      <c r="H126" s="24"/>
    </row>
    <row r="127" spans="1:8" x14ac:dyDescent="0.2">
      <c r="A127" s="5" t="s">
        <v>106</v>
      </c>
      <c r="B127" s="13" t="s">
        <v>100</v>
      </c>
      <c r="C127" s="14" t="s">
        <v>690</v>
      </c>
      <c r="D127" s="43">
        <v>1</v>
      </c>
      <c r="E127" s="43">
        <v>1</v>
      </c>
      <c r="F127" s="11"/>
      <c r="G127" s="11"/>
      <c r="H127" s="24"/>
    </row>
    <row r="128" spans="1:8" x14ac:dyDescent="0.2">
      <c r="A128" s="5" t="s">
        <v>181</v>
      </c>
      <c r="B128" s="13" t="s">
        <v>100</v>
      </c>
      <c r="C128" s="14" t="s">
        <v>599</v>
      </c>
      <c r="D128" s="43">
        <v>1</v>
      </c>
      <c r="E128" s="43">
        <v>1</v>
      </c>
      <c r="F128" s="11"/>
      <c r="G128" s="11"/>
      <c r="H128" s="24"/>
    </row>
    <row r="129" spans="1:8" x14ac:dyDescent="0.2">
      <c r="A129" s="5" t="s">
        <v>691</v>
      </c>
      <c r="B129" s="13" t="s">
        <v>100</v>
      </c>
      <c r="C129" s="14" t="s">
        <v>599</v>
      </c>
      <c r="D129" s="43">
        <v>1</v>
      </c>
      <c r="E129" s="43">
        <v>1</v>
      </c>
      <c r="F129" s="11"/>
      <c r="G129" s="11"/>
      <c r="H129" s="24"/>
    </row>
    <row r="130" spans="1:8" x14ac:dyDescent="0.2">
      <c r="A130" s="5" t="s">
        <v>692</v>
      </c>
      <c r="B130" s="13" t="s">
        <v>74</v>
      </c>
      <c r="C130" s="14" t="s">
        <v>574</v>
      </c>
      <c r="D130" s="43">
        <v>1</v>
      </c>
      <c r="E130" s="43">
        <v>1</v>
      </c>
      <c r="F130" s="11"/>
      <c r="G130" s="11"/>
      <c r="H130" s="24"/>
    </row>
    <row r="131" spans="1:8" x14ac:dyDescent="0.2">
      <c r="A131" s="5" t="s">
        <v>693</v>
      </c>
      <c r="B131" s="13" t="s">
        <v>74</v>
      </c>
      <c r="C131" s="14" t="s">
        <v>694</v>
      </c>
      <c r="D131" s="43">
        <v>1</v>
      </c>
      <c r="E131" s="43">
        <v>1</v>
      </c>
      <c r="F131" s="11"/>
      <c r="G131" s="11"/>
      <c r="H131" s="24"/>
    </row>
    <row r="132" spans="1:8" x14ac:dyDescent="0.2">
      <c r="A132" s="5" t="s">
        <v>106</v>
      </c>
      <c r="B132" s="13" t="s">
        <v>74</v>
      </c>
      <c r="C132" s="14" t="s">
        <v>695</v>
      </c>
      <c r="D132" s="43">
        <v>1</v>
      </c>
      <c r="E132" s="43">
        <v>1</v>
      </c>
      <c r="F132" s="11"/>
      <c r="G132" s="11"/>
      <c r="H132" s="24"/>
    </row>
    <row r="133" spans="1:8" x14ac:dyDescent="0.2">
      <c r="A133" s="5" t="s">
        <v>181</v>
      </c>
      <c r="B133" s="13" t="s">
        <v>74</v>
      </c>
      <c r="C133" s="14" t="s">
        <v>696</v>
      </c>
      <c r="D133" s="43">
        <v>1</v>
      </c>
      <c r="E133" s="43">
        <v>1</v>
      </c>
      <c r="F133" s="11"/>
      <c r="G133" s="11"/>
      <c r="H133" s="24"/>
    </row>
    <row r="134" spans="1:8" x14ac:dyDescent="0.2">
      <c r="A134" s="5" t="s">
        <v>691</v>
      </c>
      <c r="B134" s="13" t="s">
        <v>74</v>
      </c>
      <c r="C134" s="14" t="s">
        <v>697</v>
      </c>
      <c r="D134" s="43">
        <v>1</v>
      </c>
      <c r="E134" s="43">
        <v>1</v>
      </c>
      <c r="F134" s="11"/>
      <c r="G134" s="11"/>
      <c r="H134" s="24"/>
    </row>
    <row r="135" spans="1:8" ht="28" x14ac:dyDescent="0.2">
      <c r="A135" s="5" t="s">
        <v>698</v>
      </c>
      <c r="B135" s="13" t="s">
        <v>612</v>
      </c>
      <c r="C135" s="14" t="s">
        <v>699</v>
      </c>
      <c r="D135" s="43">
        <v>1</v>
      </c>
      <c r="E135" s="43">
        <v>1</v>
      </c>
      <c r="F135" s="44" t="s">
        <v>55</v>
      </c>
      <c r="G135" s="11"/>
      <c r="H135" s="24" t="s">
        <v>602</v>
      </c>
    </row>
    <row r="136" spans="1:8" ht="28" x14ac:dyDescent="0.2">
      <c r="A136" s="5" t="s">
        <v>700</v>
      </c>
      <c r="B136" s="13" t="s">
        <v>612</v>
      </c>
      <c r="C136" s="14" t="s">
        <v>701</v>
      </c>
      <c r="D136" s="43">
        <v>1</v>
      </c>
      <c r="E136" s="43">
        <v>1</v>
      </c>
      <c r="F136" s="44" t="s">
        <v>52</v>
      </c>
      <c r="G136" s="11"/>
      <c r="H136" s="24" t="s">
        <v>602</v>
      </c>
    </row>
    <row r="137" spans="1:8" ht="28" x14ac:dyDescent="0.2">
      <c r="A137" s="5" t="s">
        <v>702</v>
      </c>
      <c r="B137" s="13" t="s">
        <v>612</v>
      </c>
      <c r="C137" s="14" t="s">
        <v>703</v>
      </c>
      <c r="D137" s="43">
        <v>1</v>
      </c>
      <c r="E137" s="43">
        <v>1</v>
      </c>
      <c r="F137" s="44" t="s">
        <v>52</v>
      </c>
      <c r="G137" s="11"/>
      <c r="H137" s="24" t="s">
        <v>602</v>
      </c>
    </row>
    <row r="138" spans="1:8" x14ac:dyDescent="0.2">
      <c r="A138" s="5" t="s">
        <v>583</v>
      </c>
      <c r="B138" s="13" t="s">
        <v>74</v>
      </c>
      <c r="C138" s="14" t="s">
        <v>704</v>
      </c>
      <c r="D138" s="43">
        <v>1</v>
      </c>
      <c r="E138" s="43">
        <v>1</v>
      </c>
      <c r="F138" s="11"/>
      <c r="G138" s="11"/>
      <c r="H138" s="24"/>
    </row>
    <row r="139" spans="1:8" x14ac:dyDescent="0.2">
      <c r="A139" s="5" t="s">
        <v>705</v>
      </c>
      <c r="B139" s="13" t="s">
        <v>86</v>
      </c>
      <c r="C139" s="14" t="s">
        <v>706</v>
      </c>
      <c r="D139" s="43">
        <v>1</v>
      </c>
      <c r="E139" s="43">
        <v>1</v>
      </c>
      <c r="F139" s="11"/>
      <c r="G139" s="11"/>
      <c r="H139" s="24"/>
    </row>
    <row r="140" spans="1:8" x14ac:dyDescent="0.2">
      <c r="A140" s="5" t="s">
        <v>705</v>
      </c>
      <c r="B140" s="13" t="s">
        <v>86</v>
      </c>
      <c r="C140" s="14" t="s">
        <v>707</v>
      </c>
      <c r="D140" s="43">
        <v>1</v>
      </c>
      <c r="E140" s="43">
        <v>1</v>
      </c>
      <c r="F140" s="11"/>
      <c r="G140" s="11"/>
      <c r="H140" s="24"/>
    </row>
    <row r="141" spans="1:8" x14ac:dyDescent="0.2">
      <c r="A141" s="5" t="s">
        <v>592</v>
      </c>
      <c r="B141" s="13" t="s">
        <v>86</v>
      </c>
      <c r="C141" s="14" t="s">
        <v>708</v>
      </c>
      <c r="D141" s="43">
        <v>1</v>
      </c>
      <c r="E141" s="43">
        <v>1</v>
      </c>
      <c r="F141" s="11"/>
      <c r="G141" s="11"/>
      <c r="H141" s="24"/>
    </row>
    <row r="142" spans="1:8" x14ac:dyDescent="0.2">
      <c r="A142" s="5" t="s">
        <v>592</v>
      </c>
      <c r="B142" s="13" t="s">
        <v>86</v>
      </c>
      <c r="C142" s="14" t="s">
        <v>709</v>
      </c>
      <c r="D142" s="43">
        <v>1</v>
      </c>
      <c r="E142" s="43">
        <v>1</v>
      </c>
      <c r="F142" s="11"/>
      <c r="G142" s="11"/>
      <c r="H142" s="24"/>
    </row>
    <row r="143" spans="1:8" x14ac:dyDescent="0.2">
      <c r="A143" s="5" t="s">
        <v>710</v>
      </c>
      <c r="B143" s="13" t="s">
        <v>74</v>
      </c>
      <c r="C143" s="14" t="s">
        <v>584</v>
      </c>
      <c r="D143" s="43">
        <v>1</v>
      </c>
      <c r="E143" s="43">
        <v>1</v>
      </c>
      <c r="F143" s="11"/>
      <c r="G143" s="11"/>
      <c r="H143" s="24"/>
    </row>
    <row r="144" spans="1:8" x14ac:dyDescent="0.2">
      <c r="A144" s="5" t="s">
        <v>248</v>
      </c>
      <c r="B144" s="13" t="s">
        <v>74</v>
      </c>
      <c r="C144" s="14" t="s">
        <v>617</v>
      </c>
      <c r="D144" s="43">
        <v>1</v>
      </c>
      <c r="E144" s="43">
        <v>1</v>
      </c>
      <c r="F144" s="11"/>
      <c r="G144" s="11"/>
      <c r="H144" s="24"/>
    </row>
    <row r="145" spans="1:8" x14ac:dyDescent="0.2">
      <c r="A145" s="5" t="s">
        <v>248</v>
      </c>
      <c r="B145" s="13" t="s">
        <v>86</v>
      </c>
      <c r="C145" s="14" t="s">
        <v>711</v>
      </c>
      <c r="D145" s="43">
        <v>1</v>
      </c>
      <c r="E145" s="43">
        <v>1</v>
      </c>
      <c r="F145" s="11"/>
      <c r="G145" s="11"/>
      <c r="H145" s="24"/>
    </row>
    <row r="146" spans="1:8" x14ac:dyDescent="0.2">
      <c r="A146" s="5" t="s">
        <v>712</v>
      </c>
      <c r="B146" s="13" t="s">
        <v>86</v>
      </c>
      <c r="C146" s="14" t="s">
        <v>653</v>
      </c>
      <c r="D146" s="43">
        <v>1</v>
      </c>
      <c r="E146" s="43">
        <v>1</v>
      </c>
      <c r="F146" s="11"/>
      <c r="G146" s="11"/>
      <c r="H146" s="24"/>
    </row>
    <row r="147" spans="1:8" x14ac:dyDescent="0.2">
      <c r="A147" s="5" t="s">
        <v>585</v>
      </c>
      <c r="B147" s="13" t="s">
        <v>86</v>
      </c>
      <c r="C147" s="14" t="s">
        <v>713</v>
      </c>
      <c r="D147" s="43">
        <v>1</v>
      </c>
      <c r="E147" s="43">
        <v>1</v>
      </c>
      <c r="F147" s="11"/>
      <c r="G147" s="11"/>
      <c r="H147" s="24"/>
    </row>
    <row r="148" spans="1:8" x14ac:dyDescent="0.2">
      <c r="A148" s="5" t="s">
        <v>714</v>
      </c>
      <c r="B148" s="13"/>
      <c r="C148" s="14"/>
      <c r="D148" s="43">
        <v>1</v>
      </c>
      <c r="E148" s="43">
        <v>1</v>
      </c>
      <c r="F148" s="11"/>
      <c r="G148" s="11"/>
      <c r="H148" s="24"/>
    </row>
    <row r="149" spans="1:8" x14ac:dyDescent="0.2">
      <c r="A149" s="5" t="s">
        <v>715</v>
      </c>
      <c r="B149" s="13" t="s">
        <v>74</v>
      </c>
      <c r="C149" s="14" t="s">
        <v>716</v>
      </c>
      <c r="D149" s="43">
        <v>1</v>
      </c>
      <c r="E149" s="43">
        <v>1</v>
      </c>
      <c r="F149" s="11"/>
      <c r="G149" s="11"/>
      <c r="H149" s="24"/>
    </row>
    <row r="150" spans="1:8" x14ac:dyDescent="0.2">
      <c r="A150" s="5" t="s">
        <v>715</v>
      </c>
      <c r="B150" s="13" t="s">
        <v>86</v>
      </c>
      <c r="C150" s="14" t="s">
        <v>717</v>
      </c>
      <c r="D150" s="43">
        <v>1</v>
      </c>
      <c r="E150" s="43">
        <v>1</v>
      </c>
      <c r="F150" s="11"/>
      <c r="G150" s="11"/>
      <c r="H150" s="24"/>
    </row>
    <row r="151" spans="1:8" x14ac:dyDescent="0.2">
      <c r="A151" s="5" t="s">
        <v>248</v>
      </c>
      <c r="B151" s="13" t="s">
        <v>231</v>
      </c>
      <c r="C151" s="14" t="s">
        <v>718</v>
      </c>
      <c r="D151" s="43">
        <v>1</v>
      </c>
      <c r="E151" s="43">
        <v>1</v>
      </c>
      <c r="F151" s="11"/>
      <c r="G151" s="11"/>
      <c r="H151" s="24"/>
    </row>
    <row r="152" spans="1:8" x14ac:dyDescent="0.2">
      <c r="A152" s="5" t="s">
        <v>248</v>
      </c>
      <c r="B152" s="13" t="s">
        <v>231</v>
      </c>
      <c r="C152" s="14" t="s">
        <v>719</v>
      </c>
      <c r="D152" s="43">
        <v>1</v>
      </c>
      <c r="E152" s="43">
        <v>1</v>
      </c>
      <c r="F152" s="11"/>
      <c r="G152" s="11"/>
      <c r="H152" s="24"/>
    </row>
    <row r="153" spans="1:8" x14ac:dyDescent="0.2">
      <c r="A153" s="5" t="s">
        <v>248</v>
      </c>
      <c r="B153" s="13" t="s">
        <v>74</v>
      </c>
      <c r="C153" s="14" t="s">
        <v>720</v>
      </c>
      <c r="D153" s="43">
        <v>1</v>
      </c>
      <c r="E153" s="43">
        <v>1</v>
      </c>
      <c r="F153" s="11"/>
      <c r="G153" s="11"/>
      <c r="H153" s="24"/>
    </row>
    <row r="154" spans="1:8" x14ac:dyDescent="0.2">
      <c r="A154" s="5" t="s">
        <v>248</v>
      </c>
      <c r="B154" s="13" t="s">
        <v>70</v>
      </c>
      <c r="C154" s="14" t="s">
        <v>721</v>
      </c>
      <c r="D154" s="43">
        <v>1</v>
      </c>
      <c r="E154" s="43">
        <v>1</v>
      </c>
      <c r="F154" s="11"/>
      <c r="G154" s="11"/>
      <c r="H154" s="24"/>
    </row>
    <row r="155" spans="1:8" x14ac:dyDescent="0.2">
      <c r="A155" s="5" t="s">
        <v>567</v>
      </c>
      <c r="B155" s="13" t="s">
        <v>70</v>
      </c>
      <c r="C155" s="14" t="s">
        <v>722</v>
      </c>
      <c r="D155" s="43">
        <v>1</v>
      </c>
      <c r="E155" s="43">
        <v>1</v>
      </c>
      <c r="F155" s="11"/>
      <c r="G155" s="11"/>
      <c r="H155" s="24"/>
    </row>
    <row r="156" spans="1:8" x14ac:dyDescent="0.2">
      <c r="A156" s="5" t="s">
        <v>573</v>
      </c>
      <c r="B156" s="13" t="s">
        <v>74</v>
      </c>
      <c r="C156" s="14" t="s">
        <v>723</v>
      </c>
      <c r="D156" s="43">
        <v>1</v>
      </c>
      <c r="E156" s="43">
        <v>1</v>
      </c>
      <c r="F156" s="11"/>
      <c r="G156" s="11"/>
      <c r="H156" s="24"/>
    </row>
    <row r="157" spans="1:8" x14ac:dyDescent="0.2">
      <c r="A157" s="5" t="s">
        <v>248</v>
      </c>
      <c r="B157" s="13" t="s">
        <v>74</v>
      </c>
      <c r="C157" s="14" t="s">
        <v>721</v>
      </c>
      <c r="D157" s="43">
        <v>1</v>
      </c>
      <c r="E157" s="43">
        <v>1</v>
      </c>
      <c r="F157" s="11"/>
      <c r="G157" s="11"/>
      <c r="H157" s="24"/>
    </row>
    <row r="158" spans="1:8" x14ac:dyDescent="0.2">
      <c r="A158" s="5" t="s">
        <v>567</v>
      </c>
      <c r="B158" s="13" t="s">
        <v>74</v>
      </c>
      <c r="C158" s="14" t="s">
        <v>599</v>
      </c>
      <c r="D158" s="43">
        <v>1</v>
      </c>
      <c r="E158" s="43">
        <v>1</v>
      </c>
      <c r="F158" s="11"/>
      <c r="G158" s="11"/>
      <c r="H158" s="24"/>
    </row>
    <row r="159" spans="1:8" x14ac:dyDescent="0.2">
      <c r="A159" s="5" t="s">
        <v>724</v>
      </c>
      <c r="B159" s="13" t="s">
        <v>74</v>
      </c>
      <c r="C159" s="14" t="s">
        <v>725</v>
      </c>
      <c r="D159" s="43">
        <v>1</v>
      </c>
      <c r="E159" s="43">
        <v>1</v>
      </c>
      <c r="F159" s="11"/>
      <c r="G159" s="11"/>
      <c r="H159" s="24"/>
    </row>
    <row r="160" spans="1:8" x14ac:dyDescent="0.2">
      <c r="A160" s="5" t="s">
        <v>75</v>
      </c>
      <c r="B160" s="13" t="s">
        <v>74</v>
      </c>
      <c r="C160" s="14" t="s">
        <v>726</v>
      </c>
      <c r="D160" s="43">
        <v>1</v>
      </c>
      <c r="E160" s="43">
        <v>1</v>
      </c>
      <c r="F160" s="11"/>
      <c r="G160" s="11"/>
      <c r="H160" s="24"/>
    </row>
    <row r="161" spans="1:8" x14ac:dyDescent="0.2">
      <c r="A161" s="5" t="s">
        <v>255</v>
      </c>
      <c r="B161" s="13" t="s">
        <v>74</v>
      </c>
      <c r="C161" s="14" t="s">
        <v>727</v>
      </c>
      <c r="D161" s="43">
        <v>1</v>
      </c>
      <c r="E161" s="43">
        <v>1</v>
      </c>
      <c r="F161" s="11"/>
      <c r="G161" s="11"/>
      <c r="H161" s="24"/>
    </row>
    <row r="162" spans="1:8" x14ac:dyDescent="0.2">
      <c r="A162" s="5" t="s">
        <v>615</v>
      </c>
      <c r="B162" s="13" t="s">
        <v>74</v>
      </c>
      <c r="C162" s="14" t="s">
        <v>728</v>
      </c>
      <c r="D162" s="43">
        <v>1</v>
      </c>
      <c r="E162" s="43">
        <v>1</v>
      </c>
      <c r="F162" s="11"/>
      <c r="G162" s="11"/>
      <c r="H162" s="24"/>
    </row>
    <row r="163" spans="1:8" x14ac:dyDescent="0.2">
      <c r="A163" s="5" t="s">
        <v>615</v>
      </c>
      <c r="B163" s="13" t="s">
        <v>74</v>
      </c>
      <c r="C163" s="14"/>
      <c r="D163" s="43">
        <v>1</v>
      </c>
      <c r="E163" s="43">
        <v>1</v>
      </c>
      <c r="F163" s="11"/>
      <c r="G163" s="11"/>
      <c r="H163" s="24"/>
    </row>
    <row r="164" spans="1:8" x14ac:dyDescent="0.2">
      <c r="A164" s="5" t="s">
        <v>729</v>
      </c>
      <c r="B164" s="13" t="s">
        <v>74</v>
      </c>
      <c r="C164" s="14" t="s">
        <v>570</v>
      </c>
      <c r="D164" s="43">
        <v>1</v>
      </c>
      <c r="E164" s="43">
        <v>1</v>
      </c>
      <c r="F164" s="11"/>
      <c r="G164" s="11"/>
      <c r="H164" s="24"/>
    </row>
    <row r="165" spans="1:8" ht="28" x14ac:dyDescent="0.2">
      <c r="A165" s="5" t="s">
        <v>730</v>
      </c>
      <c r="B165" s="13" t="s">
        <v>612</v>
      </c>
      <c r="C165" s="14" t="s">
        <v>731</v>
      </c>
      <c r="D165" s="43">
        <v>1</v>
      </c>
      <c r="E165" s="43">
        <v>1</v>
      </c>
      <c r="F165" s="44" t="s">
        <v>46</v>
      </c>
      <c r="G165" s="11"/>
      <c r="H165" s="24" t="s">
        <v>602</v>
      </c>
    </row>
    <row r="166" spans="1:8" ht="28" x14ac:dyDescent="0.2">
      <c r="A166" s="5" t="s">
        <v>732</v>
      </c>
      <c r="B166" s="13" t="s">
        <v>612</v>
      </c>
      <c r="C166" s="14" t="s">
        <v>733</v>
      </c>
      <c r="D166" s="43">
        <v>1</v>
      </c>
      <c r="E166" s="43">
        <v>1</v>
      </c>
      <c r="F166" s="44" t="s">
        <v>55</v>
      </c>
      <c r="G166" s="11"/>
      <c r="H166" s="24" t="s">
        <v>602</v>
      </c>
    </row>
    <row r="167" spans="1:8" ht="28" x14ac:dyDescent="0.2">
      <c r="A167" s="5" t="s">
        <v>734</v>
      </c>
      <c r="B167" s="13" t="s">
        <v>612</v>
      </c>
      <c r="C167" s="14" t="s">
        <v>735</v>
      </c>
      <c r="D167" s="43">
        <v>1</v>
      </c>
      <c r="E167" s="43">
        <v>1</v>
      </c>
      <c r="F167" s="44" t="s">
        <v>55</v>
      </c>
      <c r="G167" s="11"/>
      <c r="H167" s="24" t="s">
        <v>602</v>
      </c>
    </row>
    <row r="168" spans="1:8" ht="28" x14ac:dyDescent="0.2">
      <c r="A168" s="5" t="s">
        <v>736</v>
      </c>
      <c r="B168" s="13" t="s">
        <v>612</v>
      </c>
      <c r="C168" s="14" t="s">
        <v>737</v>
      </c>
      <c r="D168" s="43">
        <v>1</v>
      </c>
      <c r="E168" s="43">
        <v>1</v>
      </c>
      <c r="F168" s="44" t="s">
        <v>58</v>
      </c>
      <c r="G168" s="11"/>
      <c r="H168" s="24" t="s">
        <v>602</v>
      </c>
    </row>
    <row r="169" spans="1:8" ht="28" x14ac:dyDescent="0.2">
      <c r="A169" s="5" t="s">
        <v>738</v>
      </c>
      <c r="B169" s="13" t="s">
        <v>612</v>
      </c>
      <c r="C169" s="14" t="s">
        <v>739</v>
      </c>
      <c r="D169" s="43">
        <v>1</v>
      </c>
      <c r="E169" s="43">
        <v>1</v>
      </c>
      <c r="F169" s="44" t="s">
        <v>52</v>
      </c>
      <c r="G169" s="11"/>
      <c r="H169" s="24" t="s">
        <v>602</v>
      </c>
    </row>
    <row r="170" spans="1:8" x14ac:dyDescent="0.2">
      <c r="A170" s="5" t="s">
        <v>140</v>
      </c>
      <c r="B170" s="13" t="s">
        <v>74</v>
      </c>
      <c r="C170" s="14" t="s">
        <v>740</v>
      </c>
      <c r="D170" s="43">
        <v>1</v>
      </c>
      <c r="E170" s="43">
        <v>1</v>
      </c>
      <c r="F170" s="11"/>
      <c r="G170" s="11"/>
      <c r="H170" s="24"/>
    </row>
    <row r="171" spans="1:8" x14ac:dyDescent="0.2">
      <c r="A171" s="5" t="s">
        <v>741</v>
      </c>
      <c r="B171" s="13"/>
      <c r="C171" s="14"/>
      <c r="D171" s="43">
        <v>1</v>
      </c>
      <c r="E171" s="43">
        <v>1</v>
      </c>
      <c r="F171" s="11"/>
      <c r="G171" s="11"/>
      <c r="H171" s="24"/>
    </row>
    <row r="172" spans="1:8" ht="28" x14ac:dyDescent="0.2">
      <c r="A172" s="5" t="s">
        <v>742</v>
      </c>
      <c r="B172" s="13" t="s">
        <v>612</v>
      </c>
      <c r="C172" s="14" t="s">
        <v>743</v>
      </c>
      <c r="D172" s="43">
        <v>1</v>
      </c>
      <c r="E172" s="43">
        <v>1</v>
      </c>
      <c r="F172" s="44" t="s">
        <v>58</v>
      </c>
      <c r="G172" s="11"/>
      <c r="H172" s="24" t="s">
        <v>602</v>
      </c>
    </row>
    <row r="173" spans="1:8" x14ac:dyDescent="0.2">
      <c r="A173" s="5" t="s">
        <v>199</v>
      </c>
      <c r="B173" s="13" t="s">
        <v>74</v>
      </c>
      <c r="C173" s="14" t="s">
        <v>744</v>
      </c>
      <c r="D173" s="43">
        <v>1</v>
      </c>
      <c r="E173" s="43">
        <v>1</v>
      </c>
      <c r="F173" s="11"/>
      <c r="G173" s="11"/>
      <c r="H173" s="24"/>
    </row>
    <row r="174" spans="1:8" x14ac:dyDescent="0.2">
      <c r="A174" s="5" t="s">
        <v>140</v>
      </c>
      <c r="B174" s="13" t="s">
        <v>74</v>
      </c>
      <c r="C174" s="14" t="s">
        <v>745</v>
      </c>
      <c r="D174" s="43">
        <v>1</v>
      </c>
      <c r="E174" s="43">
        <v>1</v>
      </c>
      <c r="F174" s="11"/>
      <c r="G174" s="11"/>
      <c r="H174" s="24"/>
    </row>
    <row r="175" spans="1:8" x14ac:dyDescent="0.2">
      <c r="A175" s="5" t="s">
        <v>181</v>
      </c>
      <c r="B175" s="13" t="s">
        <v>105</v>
      </c>
      <c r="C175" s="14" t="s">
        <v>746</v>
      </c>
      <c r="D175" s="43">
        <v>1</v>
      </c>
      <c r="E175" s="43">
        <v>1</v>
      </c>
      <c r="F175" s="11"/>
      <c r="G175" s="11"/>
      <c r="H175" s="24"/>
    </row>
    <row r="176" spans="1:8" x14ac:dyDescent="0.2">
      <c r="A176" s="5" t="s">
        <v>106</v>
      </c>
      <c r="B176" s="13" t="s">
        <v>105</v>
      </c>
      <c r="C176" s="14" t="s">
        <v>746</v>
      </c>
      <c r="D176" s="43">
        <v>1</v>
      </c>
      <c r="E176" s="43">
        <v>1</v>
      </c>
      <c r="F176" s="11"/>
      <c r="G176" s="11"/>
      <c r="H176" s="24"/>
    </row>
    <row r="177" spans="1:8" x14ac:dyDescent="0.2">
      <c r="A177" s="5" t="s">
        <v>234</v>
      </c>
      <c r="B177" s="13" t="s">
        <v>105</v>
      </c>
      <c r="C177" s="14" t="s">
        <v>747</v>
      </c>
      <c r="D177" s="43">
        <v>1</v>
      </c>
      <c r="E177" s="43">
        <v>1</v>
      </c>
      <c r="F177" s="11"/>
      <c r="G177" s="11"/>
      <c r="H177" s="24"/>
    </row>
    <row r="178" spans="1:8" x14ac:dyDescent="0.2">
      <c r="A178" s="5" t="s">
        <v>234</v>
      </c>
      <c r="B178" s="13" t="s">
        <v>105</v>
      </c>
      <c r="C178" s="14" t="s">
        <v>748</v>
      </c>
      <c r="D178" s="43">
        <v>1</v>
      </c>
      <c r="E178" s="43">
        <v>1</v>
      </c>
      <c r="F178" s="11"/>
      <c r="G178" s="11"/>
      <c r="H178" s="24"/>
    </row>
    <row r="179" spans="1:8" x14ac:dyDescent="0.2">
      <c r="A179" s="5" t="s">
        <v>749</v>
      </c>
      <c r="B179" s="13" t="s">
        <v>86</v>
      </c>
      <c r="C179" s="14" t="s">
        <v>640</v>
      </c>
      <c r="D179" s="43">
        <v>1</v>
      </c>
      <c r="E179" s="43">
        <v>1</v>
      </c>
      <c r="F179" s="11"/>
      <c r="G179" s="11"/>
      <c r="H179" s="24"/>
    </row>
    <row r="180" spans="1:8" x14ac:dyDescent="0.2">
      <c r="A180" s="5" t="s">
        <v>692</v>
      </c>
      <c r="B180" s="13" t="s">
        <v>86</v>
      </c>
      <c r="C180" s="14" t="s">
        <v>574</v>
      </c>
      <c r="D180" s="43">
        <v>1</v>
      </c>
      <c r="E180" s="43">
        <v>1</v>
      </c>
      <c r="F180" s="11"/>
      <c r="G180" s="11"/>
      <c r="H180" s="24"/>
    </row>
    <row r="181" spans="1:8" x14ac:dyDescent="0.2">
      <c r="A181" s="5" t="s">
        <v>234</v>
      </c>
      <c r="B181" s="13" t="s">
        <v>86</v>
      </c>
      <c r="C181" s="14" t="s">
        <v>750</v>
      </c>
      <c r="D181" s="43">
        <v>1</v>
      </c>
      <c r="E181" s="43">
        <v>1</v>
      </c>
      <c r="F181" s="11"/>
      <c r="G181" s="11"/>
      <c r="H181" s="24"/>
    </row>
    <row r="182" spans="1:8" x14ac:dyDescent="0.2">
      <c r="A182" s="5" t="s">
        <v>594</v>
      </c>
      <c r="B182" s="13" t="s">
        <v>74</v>
      </c>
      <c r="C182" s="14" t="s">
        <v>686</v>
      </c>
      <c r="D182" s="43">
        <v>1</v>
      </c>
      <c r="E182" s="43">
        <v>1</v>
      </c>
      <c r="F182" s="11"/>
      <c r="G182" s="11"/>
      <c r="H182" s="24"/>
    </row>
    <row r="183" spans="1:8" x14ac:dyDescent="0.2">
      <c r="A183" s="5" t="s">
        <v>751</v>
      </c>
      <c r="B183" s="13" t="s">
        <v>74</v>
      </c>
      <c r="C183" s="14" t="s">
        <v>752</v>
      </c>
      <c r="D183" s="43">
        <v>1</v>
      </c>
      <c r="E183" s="43">
        <v>1</v>
      </c>
      <c r="F183" s="11"/>
      <c r="G183" s="11"/>
      <c r="H183" s="24"/>
    </row>
    <row r="184" spans="1:8" x14ac:dyDescent="0.2">
      <c r="A184" s="5" t="s">
        <v>753</v>
      </c>
      <c r="B184" s="13" t="s">
        <v>74</v>
      </c>
      <c r="C184" s="14" t="s">
        <v>754</v>
      </c>
      <c r="D184" s="43">
        <v>1</v>
      </c>
      <c r="E184" s="43">
        <v>1</v>
      </c>
      <c r="F184" s="11"/>
      <c r="G184" s="11"/>
      <c r="H184" s="24"/>
    </row>
    <row r="185" spans="1:8" x14ac:dyDescent="0.2">
      <c r="A185" s="5" t="s">
        <v>755</v>
      </c>
      <c r="B185" s="13" t="s">
        <v>74</v>
      </c>
      <c r="C185" s="14" t="s">
        <v>756</v>
      </c>
      <c r="D185" s="43">
        <v>1</v>
      </c>
      <c r="E185" s="43">
        <v>1</v>
      </c>
      <c r="F185" s="11"/>
      <c r="G185" s="11"/>
      <c r="H185" s="24"/>
    </row>
    <row r="186" spans="1:8" x14ac:dyDescent="0.2">
      <c r="A186" s="5" t="s">
        <v>757</v>
      </c>
      <c r="B186" s="13" t="s">
        <v>74</v>
      </c>
      <c r="C186" s="14" t="s">
        <v>598</v>
      </c>
      <c r="D186" s="43">
        <v>1</v>
      </c>
      <c r="E186" s="43">
        <v>1</v>
      </c>
      <c r="F186" s="11"/>
      <c r="G186" s="11"/>
      <c r="H186" s="24"/>
    </row>
    <row r="187" spans="1:8" x14ac:dyDescent="0.2">
      <c r="A187" s="5" t="s">
        <v>758</v>
      </c>
      <c r="B187" s="13" t="s">
        <v>74</v>
      </c>
      <c r="C187" s="14" t="s">
        <v>759</v>
      </c>
      <c r="D187" s="43">
        <v>1</v>
      </c>
      <c r="E187" s="43">
        <v>1</v>
      </c>
      <c r="F187" s="11"/>
      <c r="G187" s="11"/>
      <c r="H187" s="24"/>
    </row>
    <row r="188" spans="1:8" x14ac:dyDescent="0.2">
      <c r="A188" s="5" t="s">
        <v>595</v>
      </c>
      <c r="B188" s="13" t="s">
        <v>86</v>
      </c>
      <c r="C188" s="14"/>
      <c r="D188" s="43">
        <v>1</v>
      </c>
      <c r="E188" s="43">
        <v>1</v>
      </c>
      <c r="F188" s="11"/>
      <c r="G188" s="11"/>
      <c r="H188" s="24"/>
    </row>
    <row r="189" spans="1:8" x14ac:dyDescent="0.2">
      <c r="A189" s="5" t="s">
        <v>140</v>
      </c>
      <c r="B189" s="13" t="s">
        <v>142</v>
      </c>
      <c r="C189" s="14" t="s">
        <v>728</v>
      </c>
      <c r="D189" s="43">
        <v>1</v>
      </c>
      <c r="E189" s="43">
        <v>1</v>
      </c>
      <c r="F189" s="11"/>
      <c r="G189" s="11"/>
      <c r="H189" s="24"/>
    </row>
    <row r="190" spans="1:8" x14ac:dyDescent="0.2">
      <c r="A190" s="5" t="s">
        <v>166</v>
      </c>
      <c r="B190" s="13" t="s">
        <v>142</v>
      </c>
      <c r="C190" s="14" t="s">
        <v>760</v>
      </c>
      <c r="D190" s="43">
        <v>1</v>
      </c>
      <c r="E190" s="43">
        <v>1</v>
      </c>
      <c r="F190" s="11"/>
      <c r="G190" s="11"/>
      <c r="H190" s="24"/>
    </row>
    <row r="191" spans="1:8" x14ac:dyDescent="0.2">
      <c r="A191" s="5" t="s">
        <v>166</v>
      </c>
      <c r="B191" s="13" t="s">
        <v>142</v>
      </c>
      <c r="C191" s="14" t="s">
        <v>728</v>
      </c>
      <c r="D191" s="43">
        <v>1</v>
      </c>
      <c r="E191" s="43">
        <v>1</v>
      </c>
      <c r="F191" s="11"/>
      <c r="G191" s="11"/>
      <c r="H191" s="24"/>
    </row>
    <row r="192" spans="1:8" x14ac:dyDescent="0.2">
      <c r="A192" s="5" t="s">
        <v>585</v>
      </c>
      <c r="B192" s="13" t="s">
        <v>74</v>
      </c>
      <c r="C192" s="14" t="s">
        <v>761</v>
      </c>
      <c r="D192" s="43">
        <v>1</v>
      </c>
      <c r="E192" s="43">
        <v>1</v>
      </c>
      <c r="F192" s="11"/>
      <c r="G192" s="11"/>
      <c r="H192" s="24"/>
    </row>
    <row r="193" spans="1:8" x14ac:dyDescent="0.2">
      <c r="A193" s="5" t="s">
        <v>762</v>
      </c>
      <c r="B193" s="13" t="s">
        <v>74</v>
      </c>
      <c r="C193" s="14" t="s">
        <v>763</v>
      </c>
      <c r="D193" s="43">
        <v>1</v>
      </c>
      <c r="E193" s="43">
        <v>1</v>
      </c>
      <c r="F193" s="11"/>
      <c r="G193" s="11"/>
      <c r="H193" s="24"/>
    </row>
    <row r="194" spans="1:8" x14ac:dyDescent="0.2">
      <c r="A194" s="5" t="s">
        <v>217</v>
      </c>
      <c r="B194" s="13" t="s">
        <v>86</v>
      </c>
      <c r="C194" s="14" t="s">
        <v>581</v>
      </c>
      <c r="D194" s="43">
        <v>1</v>
      </c>
      <c r="E194" s="43">
        <v>1</v>
      </c>
      <c r="F194" s="11"/>
      <c r="G194" s="11"/>
      <c r="H194" s="24"/>
    </row>
    <row r="195" spans="1:8" ht="52" customHeight="1" x14ac:dyDescent="0.2">
      <c r="A195" s="5" t="s">
        <v>145</v>
      </c>
      <c r="B195" s="13" t="s">
        <v>74</v>
      </c>
      <c r="C195" s="14" t="s">
        <v>764</v>
      </c>
      <c r="D195" s="43">
        <v>1</v>
      </c>
      <c r="E195" s="43">
        <v>1</v>
      </c>
      <c r="F195" s="11"/>
      <c r="G195" s="11"/>
      <c r="H195" s="24"/>
    </row>
    <row r="196" spans="1:8" x14ac:dyDescent="0.2">
      <c r="A196" s="5" t="s">
        <v>199</v>
      </c>
      <c r="B196" s="13" t="s">
        <v>70</v>
      </c>
      <c r="C196" s="14" t="s">
        <v>765</v>
      </c>
      <c r="D196" s="43">
        <v>1</v>
      </c>
      <c r="E196" s="43">
        <v>1</v>
      </c>
      <c r="F196" s="11"/>
      <c r="G196" s="11"/>
      <c r="H196" s="24"/>
    </row>
    <row r="197" spans="1:8" ht="28" x14ac:dyDescent="0.2">
      <c r="A197" s="5" t="s">
        <v>656</v>
      </c>
      <c r="B197" s="13" t="s">
        <v>49</v>
      </c>
      <c r="C197" s="14" t="s">
        <v>601</v>
      </c>
      <c r="D197" s="43">
        <v>1</v>
      </c>
      <c r="E197" s="43">
        <v>1</v>
      </c>
      <c r="F197" s="44" t="s">
        <v>55</v>
      </c>
      <c r="G197" s="11"/>
      <c r="H197" s="24" t="s">
        <v>602</v>
      </c>
    </row>
    <row r="198" spans="1:8" ht="28" x14ac:dyDescent="0.2">
      <c r="A198" s="5" t="s">
        <v>656</v>
      </c>
      <c r="B198" s="13" t="s">
        <v>49</v>
      </c>
      <c r="C198" s="14" t="s">
        <v>603</v>
      </c>
      <c r="D198" s="43">
        <v>1</v>
      </c>
      <c r="E198" s="43">
        <v>1</v>
      </c>
      <c r="F198" s="44" t="s">
        <v>55</v>
      </c>
      <c r="G198" s="11"/>
      <c r="H198" s="24" t="s">
        <v>602</v>
      </c>
    </row>
    <row r="199" spans="1:8" ht="28" x14ac:dyDescent="0.2">
      <c r="A199" s="5" t="s">
        <v>766</v>
      </c>
      <c r="B199" s="13" t="s">
        <v>49</v>
      </c>
      <c r="C199" s="14" t="s">
        <v>767</v>
      </c>
      <c r="D199" s="43">
        <v>1</v>
      </c>
      <c r="E199" s="43">
        <v>1</v>
      </c>
      <c r="F199" s="44" t="s">
        <v>52</v>
      </c>
      <c r="G199" s="11"/>
      <c r="H199" s="24" t="s">
        <v>602</v>
      </c>
    </row>
    <row r="200" spans="1:8" ht="28" x14ac:dyDescent="0.2">
      <c r="A200" s="5" t="s">
        <v>766</v>
      </c>
      <c r="B200" s="13" t="s">
        <v>49</v>
      </c>
      <c r="C200" s="14" t="s">
        <v>768</v>
      </c>
      <c r="D200" s="43">
        <v>1</v>
      </c>
      <c r="E200" s="43">
        <v>1</v>
      </c>
      <c r="F200" s="44" t="s">
        <v>52</v>
      </c>
      <c r="G200" s="11"/>
      <c r="H200" s="24" t="s">
        <v>602</v>
      </c>
    </row>
    <row r="201" spans="1:8" x14ac:dyDescent="0.2">
      <c r="A201" s="5" t="s">
        <v>90</v>
      </c>
      <c r="B201" s="13" t="s">
        <v>92</v>
      </c>
      <c r="C201" s="14" t="s">
        <v>607</v>
      </c>
      <c r="D201" s="43">
        <v>1</v>
      </c>
      <c r="E201" s="43">
        <v>1</v>
      </c>
      <c r="F201" s="11"/>
      <c r="G201" s="11"/>
      <c r="H201" s="24"/>
    </row>
    <row r="202" spans="1:8" x14ac:dyDescent="0.2">
      <c r="A202" s="5" t="s">
        <v>170</v>
      </c>
      <c r="B202" s="13" t="s">
        <v>92</v>
      </c>
      <c r="C202" s="14" t="s">
        <v>722</v>
      </c>
      <c r="D202" s="43">
        <v>1</v>
      </c>
      <c r="E202" s="43">
        <v>1</v>
      </c>
      <c r="F202" s="11"/>
      <c r="G202" s="11"/>
      <c r="H202" s="24"/>
    </row>
    <row r="203" spans="1:8" x14ac:dyDescent="0.2">
      <c r="A203" s="5" t="s">
        <v>220</v>
      </c>
      <c r="B203" s="13" t="s">
        <v>92</v>
      </c>
      <c r="C203" s="14" t="s">
        <v>607</v>
      </c>
      <c r="D203" s="43">
        <v>1</v>
      </c>
      <c r="E203" s="43">
        <v>1</v>
      </c>
      <c r="F203" s="11"/>
      <c r="G203" s="11"/>
      <c r="H203" s="24"/>
    </row>
    <row r="204" spans="1:8" x14ac:dyDescent="0.2">
      <c r="A204" s="5" t="s">
        <v>90</v>
      </c>
      <c r="B204" s="13" t="s">
        <v>74</v>
      </c>
      <c r="C204" s="14" t="s">
        <v>607</v>
      </c>
      <c r="D204" s="43">
        <v>1</v>
      </c>
      <c r="E204" s="43">
        <v>1</v>
      </c>
      <c r="F204" s="11"/>
      <c r="G204" s="11"/>
      <c r="H204" s="24"/>
    </row>
    <row r="205" spans="1:8" x14ac:dyDescent="0.2">
      <c r="A205" s="5" t="s">
        <v>170</v>
      </c>
      <c r="B205" s="13" t="s">
        <v>74</v>
      </c>
      <c r="C205" s="14" t="s">
        <v>722</v>
      </c>
      <c r="D205" s="43">
        <v>1</v>
      </c>
      <c r="E205" s="43">
        <v>1</v>
      </c>
      <c r="F205" s="11"/>
      <c r="G205" s="11"/>
      <c r="H205" s="24"/>
    </row>
    <row r="206" spans="1:8" x14ac:dyDescent="0.2">
      <c r="A206" s="5" t="s">
        <v>237</v>
      </c>
      <c r="B206" s="13" t="s">
        <v>74</v>
      </c>
      <c r="C206" s="14" t="s">
        <v>769</v>
      </c>
      <c r="D206" s="43">
        <v>1</v>
      </c>
      <c r="E206" s="43">
        <v>1</v>
      </c>
      <c r="F206" s="11"/>
      <c r="G206" s="11"/>
      <c r="H206" s="24"/>
    </row>
    <row r="207" spans="1:8" x14ac:dyDescent="0.2">
      <c r="A207" s="5" t="s">
        <v>199</v>
      </c>
      <c r="B207" s="13"/>
      <c r="C207" s="14" t="s">
        <v>574</v>
      </c>
      <c r="D207" s="43">
        <v>1</v>
      </c>
      <c r="E207" s="43">
        <v>1</v>
      </c>
      <c r="F207" s="11"/>
      <c r="G207" s="11"/>
      <c r="H207" s="24"/>
    </row>
    <row r="208" spans="1:8" x14ac:dyDescent="0.2">
      <c r="A208" s="5" t="s">
        <v>140</v>
      </c>
      <c r="B208" s="13" t="s">
        <v>74</v>
      </c>
      <c r="C208" s="14" t="s">
        <v>728</v>
      </c>
      <c r="D208" s="43">
        <v>1</v>
      </c>
      <c r="E208" s="43">
        <v>1</v>
      </c>
      <c r="F208" s="11"/>
      <c r="G208" s="11"/>
      <c r="H208" s="24"/>
    </row>
    <row r="209" spans="1:8" ht="28" x14ac:dyDescent="0.2">
      <c r="A209" s="5" t="s">
        <v>649</v>
      </c>
      <c r="B209" s="13" t="s">
        <v>770</v>
      </c>
      <c r="C209" s="14"/>
      <c r="D209" s="43">
        <v>1</v>
      </c>
      <c r="E209" s="43">
        <v>1</v>
      </c>
      <c r="F209" s="44" t="s">
        <v>46</v>
      </c>
      <c r="G209" s="11"/>
      <c r="H209" s="24" t="s">
        <v>602</v>
      </c>
    </row>
    <row r="210" spans="1:8" ht="28" x14ac:dyDescent="0.2">
      <c r="A210" s="5" t="s">
        <v>656</v>
      </c>
      <c r="B210" s="13" t="s">
        <v>770</v>
      </c>
      <c r="C210" s="14"/>
      <c r="D210" s="43">
        <v>1</v>
      </c>
      <c r="E210" s="43">
        <v>1</v>
      </c>
      <c r="F210" s="44" t="s">
        <v>55</v>
      </c>
      <c r="G210" s="11"/>
      <c r="H210" s="24" t="s">
        <v>602</v>
      </c>
    </row>
    <row r="211" spans="1:8" ht="28" x14ac:dyDescent="0.2">
      <c r="A211" s="5" t="s">
        <v>600</v>
      </c>
      <c r="B211" s="13" t="s">
        <v>770</v>
      </c>
      <c r="C211" s="14"/>
      <c r="D211" s="43">
        <v>1</v>
      </c>
      <c r="E211" s="43">
        <v>1</v>
      </c>
      <c r="F211" s="44" t="s">
        <v>58</v>
      </c>
      <c r="G211" s="11"/>
      <c r="H211" s="24" t="s">
        <v>602</v>
      </c>
    </row>
    <row r="212" spans="1:8" ht="28" x14ac:dyDescent="0.2">
      <c r="A212" s="5" t="s">
        <v>766</v>
      </c>
      <c r="B212" s="13" t="s">
        <v>770</v>
      </c>
      <c r="C212" s="14"/>
      <c r="D212" s="43">
        <v>1</v>
      </c>
      <c r="E212" s="43">
        <v>1</v>
      </c>
      <c r="F212" s="44" t="s">
        <v>52</v>
      </c>
      <c r="G212" s="11"/>
      <c r="H212" s="24" t="s">
        <v>602</v>
      </c>
    </row>
    <row r="213" spans="1:8" x14ac:dyDescent="0.2">
      <c r="A213" s="5" t="s">
        <v>212</v>
      </c>
      <c r="B213" s="13" t="s">
        <v>74</v>
      </c>
      <c r="C213" s="14" t="s">
        <v>709</v>
      </c>
      <c r="D213" s="43">
        <v>1</v>
      </c>
      <c r="E213" s="43">
        <v>1</v>
      </c>
      <c r="F213" s="11"/>
      <c r="G213" s="11"/>
      <c r="H213" s="24"/>
    </row>
    <row r="214" spans="1:8" x14ac:dyDescent="0.2">
      <c r="A214" s="5" t="s">
        <v>248</v>
      </c>
      <c r="B214" s="13" t="s">
        <v>74</v>
      </c>
      <c r="C214" s="14" t="s">
        <v>620</v>
      </c>
      <c r="D214" s="43">
        <v>1</v>
      </c>
      <c r="E214" s="43">
        <v>1</v>
      </c>
      <c r="F214" s="11"/>
      <c r="G214" s="11"/>
      <c r="H214" s="24"/>
    </row>
    <row r="215" spans="1:8" x14ac:dyDescent="0.2">
      <c r="A215" s="5" t="s">
        <v>87</v>
      </c>
      <c r="B215" s="13" t="s">
        <v>86</v>
      </c>
      <c r="C215" s="14" t="s">
        <v>578</v>
      </c>
      <c r="D215" s="43">
        <v>1</v>
      </c>
      <c r="E215" s="43">
        <v>1</v>
      </c>
      <c r="F215" s="11"/>
      <c r="G215" s="11"/>
      <c r="H215" s="24"/>
    </row>
    <row r="216" spans="1:8" ht="28" x14ac:dyDescent="0.2">
      <c r="A216" s="5" t="s">
        <v>63</v>
      </c>
      <c r="B216" s="13" t="s">
        <v>612</v>
      </c>
      <c r="C216" s="14" t="s">
        <v>657</v>
      </c>
      <c r="D216" s="43">
        <v>1</v>
      </c>
      <c r="E216" s="43">
        <v>1</v>
      </c>
      <c r="F216" s="44" t="s">
        <v>61</v>
      </c>
      <c r="G216" s="11"/>
      <c r="H216" s="24" t="s">
        <v>602</v>
      </c>
    </row>
    <row r="217" spans="1:8" x14ac:dyDescent="0.2">
      <c r="A217" s="5" t="s">
        <v>710</v>
      </c>
      <c r="B217" s="13" t="s">
        <v>771</v>
      </c>
      <c r="C217" s="14" t="s">
        <v>584</v>
      </c>
      <c r="D217" s="43">
        <v>1</v>
      </c>
      <c r="E217" s="43">
        <v>1</v>
      </c>
      <c r="F217" s="11"/>
      <c r="G217" s="11"/>
      <c r="H217" s="24"/>
    </row>
    <row r="218" spans="1:8" x14ac:dyDescent="0.2">
      <c r="A218" s="5" t="s">
        <v>772</v>
      </c>
      <c r="B218" s="13"/>
      <c r="C218" s="14"/>
      <c r="D218" s="43">
        <v>1</v>
      </c>
      <c r="E218" s="43">
        <v>1</v>
      </c>
      <c r="F218" s="11"/>
      <c r="G218" s="11"/>
      <c r="H218" s="24"/>
    </row>
    <row r="219" spans="1:8" x14ac:dyDescent="0.2">
      <c r="A219" s="5" t="s">
        <v>203</v>
      </c>
      <c r="B219" s="13" t="s">
        <v>773</v>
      </c>
      <c r="C219" s="14" t="s">
        <v>774</v>
      </c>
      <c r="D219" s="43">
        <v>1</v>
      </c>
      <c r="E219" s="43">
        <v>1</v>
      </c>
      <c r="F219" s="11"/>
      <c r="G219" s="11"/>
      <c r="H219" s="24"/>
    </row>
    <row r="220" spans="1:8" x14ac:dyDescent="0.2">
      <c r="A220" s="5" t="s">
        <v>203</v>
      </c>
      <c r="B220" s="13" t="s">
        <v>202</v>
      </c>
      <c r="C220" s="14" t="s">
        <v>775</v>
      </c>
      <c r="D220" s="43">
        <v>1</v>
      </c>
      <c r="E220" s="43">
        <v>1</v>
      </c>
      <c r="F220" s="11"/>
      <c r="G220" s="11"/>
      <c r="H220" s="24"/>
    </row>
    <row r="221" spans="1:8" x14ac:dyDescent="0.2">
      <c r="A221" s="5" t="s">
        <v>661</v>
      </c>
      <c r="B221" s="13" t="s">
        <v>74</v>
      </c>
      <c r="C221" s="14" t="s">
        <v>776</v>
      </c>
      <c r="D221" s="43">
        <v>1</v>
      </c>
      <c r="E221" s="43">
        <v>1</v>
      </c>
      <c r="F221" s="11"/>
      <c r="G221" s="11"/>
      <c r="H221" s="24"/>
    </row>
    <row r="222" spans="1:8" x14ac:dyDescent="0.2">
      <c r="A222" s="5" t="s">
        <v>777</v>
      </c>
      <c r="B222" s="13" t="s">
        <v>74</v>
      </c>
      <c r="C222" s="14" t="s">
        <v>778</v>
      </c>
      <c r="D222" s="43">
        <v>1</v>
      </c>
      <c r="E222" s="43">
        <v>1</v>
      </c>
      <c r="F222" s="11"/>
      <c r="G222" s="11"/>
      <c r="H222" s="24"/>
    </row>
    <row r="223" spans="1:8" x14ac:dyDescent="0.2">
      <c r="A223" s="5" t="s">
        <v>779</v>
      </c>
      <c r="B223" s="13" t="s">
        <v>86</v>
      </c>
      <c r="C223" s="14" t="s">
        <v>780</v>
      </c>
      <c r="D223" s="43">
        <v>1</v>
      </c>
      <c r="E223" s="43">
        <v>1</v>
      </c>
      <c r="F223" s="11"/>
      <c r="G223" s="11"/>
      <c r="H223" s="24"/>
    </row>
    <row r="224" spans="1:8" x14ac:dyDescent="0.2">
      <c r="A224" s="5" t="s">
        <v>573</v>
      </c>
      <c r="B224" s="13" t="s">
        <v>74</v>
      </c>
      <c r="C224" s="14" t="s">
        <v>781</v>
      </c>
      <c r="D224" s="43">
        <v>1</v>
      </c>
      <c r="E224" s="43">
        <v>1</v>
      </c>
      <c r="F224" s="11"/>
      <c r="G224" s="11"/>
      <c r="H224" s="24"/>
    </row>
    <row r="225" spans="1:8" x14ac:dyDescent="0.2">
      <c r="A225" s="5" t="s">
        <v>782</v>
      </c>
      <c r="B225" s="13" t="s">
        <v>74</v>
      </c>
      <c r="C225" s="14" t="s">
        <v>783</v>
      </c>
      <c r="D225" s="43">
        <v>1</v>
      </c>
      <c r="E225" s="43">
        <v>1</v>
      </c>
      <c r="F225" s="11"/>
      <c r="G225" s="11"/>
      <c r="H225" s="24"/>
    </row>
    <row r="226" spans="1:8" x14ac:dyDescent="0.2">
      <c r="A226" s="5" t="s">
        <v>779</v>
      </c>
      <c r="B226" s="13" t="s">
        <v>74</v>
      </c>
      <c r="C226" s="14" t="s">
        <v>784</v>
      </c>
      <c r="D226" s="43">
        <v>1</v>
      </c>
      <c r="E226" s="43">
        <v>1</v>
      </c>
      <c r="F226" s="11"/>
      <c r="G226" s="11"/>
      <c r="H226" s="24"/>
    </row>
    <row r="227" spans="1:8" x14ac:dyDescent="0.2">
      <c r="A227" s="5" t="s">
        <v>669</v>
      </c>
      <c r="B227" s="13" t="s">
        <v>74</v>
      </c>
      <c r="C227" s="14" t="s">
        <v>784</v>
      </c>
      <c r="D227" s="43">
        <v>1</v>
      </c>
      <c r="E227" s="43">
        <v>1</v>
      </c>
      <c r="F227" s="11"/>
      <c r="G227" s="11"/>
      <c r="H227" s="24"/>
    </row>
    <row r="228" spans="1:8" x14ac:dyDescent="0.2">
      <c r="A228" s="5" t="s">
        <v>115</v>
      </c>
      <c r="B228" s="13" t="s">
        <v>86</v>
      </c>
      <c r="C228" s="14"/>
      <c r="D228" s="43">
        <v>1</v>
      </c>
      <c r="E228" s="43">
        <v>1</v>
      </c>
      <c r="F228" s="11"/>
      <c r="G228" s="11"/>
      <c r="H228" s="24"/>
    </row>
    <row r="229" spans="1:8" x14ac:dyDescent="0.2">
      <c r="A229" s="5" t="s">
        <v>573</v>
      </c>
      <c r="B229" s="13" t="s">
        <v>74</v>
      </c>
      <c r="C229" s="14" t="s">
        <v>686</v>
      </c>
      <c r="D229" s="43">
        <v>1</v>
      </c>
      <c r="E229" s="43">
        <v>1</v>
      </c>
      <c r="F229" s="11"/>
      <c r="G229" s="11"/>
      <c r="H229" s="24"/>
    </row>
    <row r="230" spans="1:8" x14ac:dyDescent="0.2">
      <c r="A230" s="5" t="s">
        <v>669</v>
      </c>
      <c r="B230" s="13" t="s">
        <v>74</v>
      </c>
      <c r="C230" s="14" t="s">
        <v>625</v>
      </c>
      <c r="D230" s="43">
        <v>1</v>
      </c>
      <c r="E230" s="43">
        <v>1</v>
      </c>
      <c r="F230" s="11"/>
      <c r="G230" s="11"/>
      <c r="H230" s="24"/>
    </row>
    <row r="231" spans="1:8" x14ac:dyDescent="0.2">
      <c r="A231" s="5" t="s">
        <v>785</v>
      </c>
      <c r="B231" s="13" t="s">
        <v>74</v>
      </c>
      <c r="C231" s="14" t="s">
        <v>625</v>
      </c>
      <c r="D231" s="43">
        <v>1</v>
      </c>
      <c r="E231" s="43">
        <v>1</v>
      </c>
      <c r="F231" s="11"/>
      <c r="G231" s="11"/>
      <c r="H231" s="24"/>
    </row>
    <row r="232" spans="1:8" x14ac:dyDescent="0.2">
      <c r="A232" s="5" t="s">
        <v>782</v>
      </c>
      <c r="B232" s="13" t="s">
        <v>74</v>
      </c>
      <c r="C232" s="14" t="s">
        <v>607</v>
      </c>
      <c r="D232" s="43">
        <v>1</v>
      </c>
      <c r="E232" s="43">
        <v>1</v>
      </c>
      <c r="F232" s="11"/>
      <c r="G232" s="11"/>
      <c r="H232" s="24"/>
    </row>
    <row r="233" spans="1:8" x14ac:dyDescent="0.2">
      <c r="A233" s="5" t="s">
        <v>779</v>
      </c>
      <c r="B233" s="13" t="s">
        <v>74</v>
      </c>
      <c r="C233" s="14" t="s">
        <v>625</v>
      </c>
      <c r="D233" s="43">
        <v>1</v>
      </c>
      <c r="E233" s="43">
        <v>1</v>
      </c>
      <c r="F233" s="11"/>
      <c r="G233" s="11"/>
      <c r="H233" s="24"/>
    </row>
    <row r="234" spans="1:8" x14ac:dyDescent="0.2">
      <c r="A234" s="5" t="s">
        <v>782</v>
      </c>
      <c r="B234" s="13" t="s">
        <v>74</v>
      </c>
      <c r="C234" s="14" t="s">
        <v>786</v>
      </c>
      <c r="D234" s="43">
        <v>1</v>
      </c>
      <c r="E234" s="43">
        <v>1</v>
      </c>
      <c r="F234" s="11"/>
      <c r="G234" s="11"/>
      <c r="H234" s="24"/>
    </row>
    <row r="235" spans="1:8" ht="28" x14ac:dyDescent="0.2">
      <c r="A235" s="5" t="s">
        <v>787</v>
      </c>
      <c r="B235" s="13" t="s">
        <v>74</v>
      </c>
      <c r="C235" s="14" t="s">
        <v>788</v>
      </c>
      <c r="D235" s="43">
        <v>1</v>
      </c>
      <c r="E235" s="43">
        <v>1</v>
      </c>
      <c r="F235" s="44" t="s">
        <v>46</v>
      </c>
      <c r="G235" s="11"/>
      <c r="H235" s="24" t="s">
        <v>602</v>
      </c>
    </row>
    <row r="236" spans="1:8" x14ac:dyDescent="0.2">
      <c r="A236" s="5" t="s">
        <v>669</v>
      </c>
      <c r="B236" s="13" t="s">
        <v>74</v>
      </c>
      <c r="C236" s="14" t="s">
        <v>789</v>
      </c>
      <c r="D236" s="43">
        <v>1</v>
      </c>
      <c r="E236" s="43">
        <v>1</v>
      </c>
      <c r="F236" s="11"/>
      <c r="G236" s="11"/>
      <c r="H236" s="24"/>
    </row>
    <row r="237" spans="1:8" x14ac:dyDescent="0.2">
      <c r="A237" s="5" t="s">
        <v>605</v>
      </c>
      <c r="B237" s="13" t="s">
        <v>74</v>
      </c>
      <c r="C237" s="14" t="s">
        <v>584</v>
      </c>
      <c r="D237" s="43">
        <v>1</v>
      </c>
      <c r="E237" s="43">
        <v>1</v>
      </c>
      <c r="F237" s="11"/>
      <c r="G237" s="11"/>
      <c r="H237" s="24"/>
    </row>
    <row r="238" spans="1:8" ht="28" x14ac:dyDescent="0.2">
      <c r="A238" s="5" t="s">
        <v>787</v>
      </c>
      <c r="B238" s="13" t="s">
        <v>49</v>
      </c>
      <c r="C238" s="14"/>
      <c r="D238" s="43">
        <v>1</v>
      </c>
      <c r="E238" s="43">
        <v>1</v>
      </c>
      <c r="F238" s="44" t="s">
        <v>46</v>
      </c>
      <c r="G238" s="11"/>
      <c r="H238" s="24" t="s">
        <v>602</v>
      </c>
    </row>
    <row r="239" spans="1:8" ht="28" x14ac:dyDescent="0.2">
      <c r="A239" s="5" t="s">
        <v>790</v>
      </c>
      <c r="B239" s="13" t="s">
        <v>49</v>
      </c>
      <c r="C239" s="14" t="s">
        <v>791</v>
      </c>
      <c r="D239" s="43">
        <v>1</v>
      </c>
      <c r="E239" s="43">
        <v>1</v>
      </c>
      <c r="F239" s="44" t="s">
        <v>52</v>
      </c>
      <c r="G239" s="11"/>
      <c r="H239" s="24" t="s">
        <v>602</v>
      </c>
    </row>
    <row r="240" spans="1:8" ht="28" x14ac:dyDescent="0.2">
      <c r="A240" s="5" t="s">
        <v>600</v>
      </c>
      <c r="B240" s="13" t="s">
        <v>49</v>
      </c>
      <c r="C240" s="14" t="s">
        <v>792</v>
      </c>
      <c r="D240" s="43">
        <v>1</v>
      </c>
      <c r="E240" s="43">
        <v>1</v>
      </c>
      <c r="F240" s="44" t="s">
        <v>58</v>
      </c>
      <c r="G240" s="11"/>
      <c r="H240" s="24" t="s">
        <v>602</v>
      </c>
    </row>
    <row r="241" spans="1:8" ht="28" x14ac:dyDescent="0.2">
      <c r="A241" s="5" t="s">
        <v>656</v>
      </c>
      <c r="B241" s="13" t="s">
        <v>49</v>
      </c>
      <c r="C241" s="14" t="s">
        <v>793</v>
      </c>
      <c r="D241" s="43">
        <v>1</v>
      </c>
      <c r="E241" s="43">
        <v>1</v>
      </c>
      <c r="F241" s="44" t="s">
        <v>55</v>
      </c>
      <c r="G241" s="11"/>
      <c r="H241" s="24" t="s">
        <v>602</v>
      </c>
    </row>
    <row r="242" spans="1:8" x14ac:dyDescent="0.2">
      <c r="A242" s="5" t="s">
        <v>661</v>
      </c>
      <c r="B242" s="13" t="s">
        <v>74</v>
      </c>
      <c r="C242" s="14" t="s">
        <v>786</v>
      </c>
      <c r="D242" s="43">
        <v>1</v>
      </c>
      <c r="E242" s="43">
        <v>1</v>
      </c>
      <c r="F242" s="11"/>
      <c r="G242" s="11"/>
      <c r="H242" s="24"/>
    </row>
    <row r="243" spans="1:8" x14ac:dyDescent="0.2">
      <c r="A243" s="5" t="s">
        <v>777</v>
      </c>
      <c r="B243" s="13" t="s">
        <v>74</v>
      </c>
      <c r="C243" s="14" t="s">
        <v>786</v>
      </c>
      <c r="D243" s="43">
        <v>1</v>
      </c>
      <c r="E243" s="43">
        <v>1</v>
      </c>
      <c r="F243" s="11"/>
      <c r="G243" s="11"/>
      <c r="H243" s="24"/>
    </row>
    <row r="244" spans="1:8" x14ac:dyDescent="0.2">
      <c r="A244" s="5" t="s">
        <v>779</v>
      </c>
      <c r="B244" s="13" t="s">
        <v>74</v>
      </c>
      <c r="C244" s="14" t="s">
        <v>786</v>
      </c>
      <c r="D244" s="43">
        <v>1</v>
      </c>
      <c r="E244" s="43">
        <v>1</v>
      </c>
      <c r="F244" s="11"/>
      <c r="G244" s="11"/>
      <c r="H244" s="24"/>
    </row>
    <row r="245" spans="1:8" x14ac:dyDescent="0.2">
      <c r="A245" s="5" t="s">
        <v>794</v>
      </c>
      <c r="B245" s="13" t="s">
        <v>74</v>
      </c>
      <c r="C245" s="14" t="s">
        <v>616</v>
      </c>
      <c r="D245" s="43">
        <v>1</v>
      </c>
      <c r="E245" s="43">
        <v>1</v>
      </c>
      <c r="F245" s="11"/>
      <c r="G245" s="11"/>
      <c r="H245" s="24"/>
    </row>
    <row r="246" spans="1:8" x14ac:dyDescent="0.2">
      <c r="A246" s="5" t="s">
        <v>590</v>
      </c>
      <c r="B246" s="13" t="s">
        <v>74</v>
      </c>
      <c r="C246" s="14" t="s">
        <v>795</v>
      </c>
      <c r="D246" s="43">
        <v>1</v>
      </c>
      <c r="E246" s="43">
        <v>1</v>
      </c>
      <c r="F246" s="11"/>
      <c r="G246" s="11"/>
      <c r="H246" s="24"/>
    </row>
    <row r="247" spans="1:8" x14ac:dyDescent="0.2">
      <c r="A247" s="5" t="s">
        <v>796</v>
      </c>
      <c r="B247" s="13" t="s">
        <v>74</v>
      </c>
      <c r="C247" s="14" t="s">
        <v>797</v>
      </c>
      <c r="D247" s="43">
        <v>1</v>
      </c>
      <c r="E247" s="43">
        <v>1</v>
      </c>
      <c r="F247" s="11"/>
      <c r="G247" s="11"/>
      <c r="H247" s="24"/>
    </row>
    <row r="248" spans="1:8" x14ac:dyDescent="0.2">
      <c r="A248" s="5" t="s">
        <v>798</v>
      </c>
      <c r="B248" s="13" t="s">
        <v>70</v>
      </c>
      <c r="C248" s="14" t="s">
        <v>717</v>
      </c>
      <c r="D248" s="43">
        <v>1</v>
      </c>
      <c r="E248" s="43">
        <v>1</v>
      </c>
      <c r="F248" s="11"/>
      <c r="G248" s="11"/>
      <c r="H248" s="24"/>
    </row>
    <row r="249" spans="1:8" x14ac:dyDescent="0.2">
      <c r="A249" s="5" t="s">
        <v>799</v>
      </c>
      <c r="B249" s="13" t="s">
        <v>86</v>
      </c>
      <c r="C249" s="14" t="s">
        <v>581</v>
      </c>
      <c r="D249" s="43">
        <v>1</v>
      </c>
      <c r="E249" s="43">
        <v>1</v>
      </c>
      <c r="F249" s="11"/>
      <c r="G249" s="11"/>
      <c r="H249" s="24"/>
    </row>
    <row r="250" spans="1:8" x14ac:dyDescent="0.2">
      <c r="A250" s="5" t="s">
        <v>83</v>
      </c>
      <c r="B250" s="13" t="s">
        <v>74</v>
      </c>
      <c r="C250" s="14" t="s">
        <v>800</v>
      </c>
      <c r="D250" s="43">
        <v>1</v>
      </c>
      <c r="E250" s="43">
        <v>1</v>
      </c>
      <c r="F250" s="11"/>
      <c r="G250" s="11"/>
      <c r="H250" s="24"/>
    </row>
    <row r="251" spans="1:8" x14ac:dyDescent="0.2">
      <c r="A251" s="5" t="s">
        <v>801</v>
      </c>
      <c r="B251" s="13" t="s">
        <v>74</v>
      </c>
      <c r="C251" s="14" t="s">
        <v>574</v>
      </c>
      <c r="D251" s="43">
        <v>1</v>
      </c>
      <c r="E251" s="43">
        <v>1</v>
      </c>
      <c r="F251" s="11"/>
      <c r="G251" s="11"/>
      <c r="H251" s="24"/>
    </row>
    <row r="252" spans="1:8" x14ac:dyDescent="0.2">
      <c r="A252" s="5" t="s">
        <v>157</v>
      </c>
      <c r="B252" s="13" t="s">
        <v>156</v>
      </c>
      <c r="C252" s="14"/>
      <c r="D252" s="43">
        <v>1</v>
      </c>
      <c r="E252" s="43">
        <v>1</v>
      </c>
      <c r="F252" s="11"/>
      <c r="G252" s="11"/>
      <c r="H252" s="24"/>
    </row>
    <row r="253" spans="1:8" x14ac:dyDescent="0.2">
      <c r="A253" s="5" t="s">
        <v>802</v>
      </c>
      <c r="B253" s="13" t="s">
        <v>74</v>
      </c>
      <c r="C253" s="14" t="s">
        <v>803</v>
      </c>
      <c r="D253" s="43">
        <v>1</v>
      </c>
      <c r="E253" s="43">
        <v>1</v>
      </c>
      <c r="F253" s="11"/>
      <c r="G253" s="11"/>
      <c r="H253" s="24"/>
    </row>
    <row r="254" spans="1:8" x14ac:dyDescent="0.2">
      <c r="A254" s="5" t="s">
        <v>220</v>
      </c>
      <c r="B254" s="13" t="s">
        <v>86</v>
      </c>
      <c r="C254" s="14" t="s">
        <v>804</v>
      </c>
      <c r="D254" s="43">
        <v>1</v>
      </c>
      <c r="E254" s="43">
        <v>1</v>
      </c>
      <c r="F254" s="11"/>
      <c r="G254" s="11"/>
      <c r="H254" s="24"/>
    </row>
    <row r="255" spans="1:8" x14ac:dyDescent="0.2">
      <c r="A255" s="5" t="s">
        <v>597</v>
      </c>
      <c r="B255" s="13" t="s">
        <v>74</v>
      </c>
      <c r="C255" s="14" t="s">
        <v>717</v>
      </c>
      <c r="D255" s="43">
        <v>1</v>
      </c>
      <c r="E255" s="43">
        <v>1</v>
      </c>
      <c r="F255" s="11"/>
      <c r="G255" s="11"/>
      <c r="H255" s="24"/>
    </row>
    <row r="256" spans="1:8" x14ac:dyDescent="0.2">
      <c r="A256" s="5" t="s">
        <v>81</v>
      </c>
      <c r="B256" s="13" t="s">
        <v>805</v>
      </c>
      <c r="C256" s="14" t="s">
        <v>775</v>
      </c>
      <c r="D256" s="43">
        <v>1</v>
      </c>
      <c r="E256" s="43">
        <v>1</v>
      </c>
      <c r="F256" s="11"/>
      <c r="G256" s="11"/>
      <c r="H256" s="24"/>
    </row>
    <row r="257" spans="1:8" x14ac:dyDescent="0.2">
      <c r="A257" s="5" t="s">
        <v>248</v>
      </c>
      <c r="B257" s="13" t="s">
        <v>74</v>
      </c>
      <c r="C257" s="14" t="s">
        <v>806</v>
      </c>
      <c r="D257" s="43">
        <v>1</v>
      </c>
      <c r="E257" s="43">
        <v>1</v>
      </c>
      <c r="F257" s="11"/>
      <c r="G257" s="11"/>
      <c r="H257" s="24"/>
    </row>
    <row r="258" spans="1:8" x14ac:dyDescent="0.2">
      <c r="A258" s="5" t="s">
        <v>585</v>
      </c>
      <c r="B258" s="13" t="s">
        <v>74</v>
      </c>
      <c r="C258" s="14" t="s">
        <v>708</v>
      </c>
      <c r="D258" s="43">
        <v>1</v>
      </c>
      <c r="E258" s="43">
        <v>1</v>
      </c>
      <c r="F258" s="11"/>
      <c r="G258" s="11"/>
      <c r="H258" s="24"/>
    </row>
    <row r="259" spans="1:8" x14ac:dyDescent="0.2">
      <c r="A259" s="5" t="s">
        <v>807</v>
      </c>
      <c r="B259" s="13" t="s">
        <v>74</v>
      </c>
      <c r="C259" s="14" t="s">
        <v>808</v>
      </c>
      <c r="D259" s="43">
        <v>1</v>
      </c>
      <c r="E259" s="43">
        <v>1</v>
      </c>
      <c r="F259" s="11"/>
      <c r="G259" s="11"/>
      <c r="H259" s="24"/>
    </row>
    <row r="260" spans="1:8" x14ac:dyDescent="0.2">
      <c r="A260" s="5" t="s">
        <v>809</v>
      </c>
      <c r="B260" s="13" t="s">
        <v>74</v>
      </c>
      <c r="C260" s="14" t="s">
        <v>810</v>
      </c>
      <c r="D260" s="43">
        <v>1</v>
      </c>
      <c r="E260" s="43">
        <v>1</v>
      </c>
      <c r="F260" s="11"/>
      <c r="G260" s="11"/>
      <c r="H260" s="24"/>
    </row>
    <row r="261" spans="1:8" x14ac:dyDescent="0.2">
      <c r="A261" s="5" t="s">
        <v>811</v>
      </c>
      <c r="B261" s="13" t="s">
        <v>74</v>
      </c>
      <c r="C261" s="14" t="s">
        <v>812</v>
      </c>
      <c r="D261" s="43">
        <v>1</v>
      </c>
      <c r="E261" s="43">
        <v>1</v>
      </c>
      <c r="F261" s="11"/>
      <c r="G261" s="11"/>
      <c r="H261" s="24"/>
    </row>
    <row r="262" spans="1:8" x14ac:dyDescent="0.2">
      <c r="A262" s="5" t="s">
        <v>813</v>
      </c>
      <c r="B262" s="13" t="s">
        <v>74</v>
      </c>
      <c r="C262" s="14" t="s">
        <v>814</v>
      </c>
      <c r="D262" s="43">
        <v>1</v>
      </c>
      <c r="E262" s="43">
        <v>1</v>
      </c>
      <c r="F262" s="11"/>
      <c r="G262" s="11"/>
      <c r="H262" s="24"/>
    </row>
    <row r="263" spans="1:8" x14ac:dyDescent="0.2">
      <c r="A263" s="5" t="s">
        <v>577</v>
      </c>
      <c r="B263" s="13" t="s">
        <v>86</v>
      </c>
      <c r="C263" s="14" t="s">
        <v>814</v>
      </c>
      <c r="D263" s="43">
        <v>1</v>
      </c>
      <c r="E263" s="43">
        <v>1</v>
      </c>
      <c r="F263" s="11"/>
      <c r="G263" s="11"/>
      <c r="H263" s="24"/>
    </row>
    <row r="264" spans="1:8" x14ac:dyDescent="0.2">
      <c r="A264" s="5" t="s">
        <v>90</v>
      </c>
      <c r="B264" s="13" t="s">
        <v>815</v>
      </c>
      <c r="C264" s="14" t="s">
        <v>816</v>
      </c>
      <c r="D264" s="43">
        <v>1</v>
      </c>
      <c r="E264" s="43">
        <v>1</v>
      </c>
      <c r="F264" s="11"/>
      <c r="G264" s="11"/>
      <c r="H264" s="24"/>
    </row>
    <row r="265" spans="1:8" x14ac:dyDescent="0.2">
      <c r="A265" s="5" t="s">
        <v>199</v>
      </c>
      <c r="B265" s="13" t="s">
        <v>815</v>
      </c>
      <c r="C265" s="14" t="s">
        <v>723</v>
      </c>
      <c r="D265" s="43">
        <v>1</v>
      </c>
      <c r="E265" s="43">
        <v>1</v>
      </c>
      <c r="F265" s="11"/>
      <c r="G265" s="11"/>
      <c r="H265" s="24"/>
    </row>
    <row r="266" spans="1:8" x14ac:dyDescent="0.2">
      <c r="A266" s="5" t="s">
        <v>188</v>
      </c>
      <c r="B266" s="13" t="s">
        <v>815</v>
      </c>
      <c r="C266" s="14" t="s">
        <v>817</v>
      </c>
      <c r="D266" s="43">
        <v>1</v>
      </c>
      <c r="E266" s="43">
        <v>1</v>
      </c>
      <c r="F266" s="11"/>
      <c r="G266" s="11"/>
      <c r="H266" s="24"/>
    </row>
    <row r="267" spans="1:8" x14ac:dyDescent="0.2">
      <c r="A267" s="5" t="s">
        <v>170</v>
      </c>
      <c r="B267" s="13" t="s">
        <v>815</v>
      </c>
      <c r="C267" s="14" t="s">
        <v>818</v>
      </c>
      <c r="D267" s="43">
        <v>1</v>
      </c>
      <c r="E267" s="43">
        <v>1</v>
      </c>
      <c r="F267" s="11"/>
      <c r="G267" s="11"/>
      <c r="H267" s="24"/>
    </row>
    <row r="268" spans="1:8" x14ac:dyDescent="0.2">
      <c r="A268" s="5" t="s">
        <v>170</v>
      </c>
      <c r="B268" s="13" t="s">
        <v>815</v>
      </c>
      <c r="C268" s="14" t="s">
        <v>819</v>
      </c>
      <c r="D268" s="43">
        <v>1</v>
      </c>
      <c r="E268" s="43">
        <v>1</v>
      </c>
      <c r="F268" s="11"/>
      <c r="G268" s="11"/>
      <c r="H268" s="24"/>
    </row>
    <row r="269" spans="1:8" x14ac:dyDescent="0.2">
      <c r="A269" s="5" t="s">
        <v>188</v>
      </c>
      <c r="B269" s="13" t="s">
        <v>74</v>
      </c>
      <c r="C269" s="14" t="s">
        <v>820</v>
      </c>
      <c r="D269" s="43">
        <v>1</v>
      </c>
      <c r="E269" s="43">
        <v>1</v>
      </c>
      <c r="F269" s="11"/>
      <c r="G269" s="11"/>
      <c r="H269" s="24"/>
    </row>
    <row r="270" spans="1:8" x14ac:dyDescent="0.2">
      <c r="A270" s="5" t="s">
        <v>821</v>
      </c>
      <c r="B270" s="13" t="s">
        <v>74</v>
      </c>
      <c r="C270" s="14" t="s">
        <v>616</v>
      </c>
      <c r="D270" s="43">
        <v>1</v>
      </c>
      <c r="E270" s="43">
        <v>1</v>
      </c>
      <c r="F270" s="11"/>
      <c r="G270" s="11"/>
      <c r="H270" s="24"/>
    </row>
    <row r="271" spans="1:8" x14ac:dyDescent="0.2">
      <c r="A271" s="5" t="s">
        <v>248</v>
      </c>
      <c r="B271" s="13" t="s">
        <v>74</v>
      </c>
      <c r="C271" s="14" t="s">
        <v>822</v>
      </c>
      <c r="D271" s="43">
        <v>1</v>
      </c>
      <c r="E271" s="43">
        <v>1</v>
      </c>
      <c r="F271" s="11"/>
      <c r="G271" s="11"/>
      <c r="H271" s="24"/>
    </row>
    <row r="272" spans="1:8" x14ac:dyDescent="0.2">
      <c r="A272" s="5" t="s">
        <v>823</v>
      </c>
      <c r="B272" s="13" t="s">
        <v>86</v>
      </c>
      <c r="C272" s="14" t="s">
        <v>824</v>
      </c>
      <c r="D272" s="43">
        <v>1</v>
      </c>
      <c r="E272" s="43">
        <v>1</v>
      </c>
      <c r="F272" s="11"/>
      <c r="G272" s="11"/>
      <c r="H272" s="24"/>
    </row>
    <row r="273" spans="1:8" x14ac:dyDescent="0.2">
      <c r="A273" s="5" t="s">
        <v>825</v>
      </c>
      <c r="B273" s="13" t="s">
        <v>86</v>
      </c>
      <c r="C273" s="14" t="s">
        <v>826</v>
      </c>
      <c r="D273" s="43">
        <v>1</v>
      </c>
      <c r="E273" s="43">
        <v>1</v>
      </c>
      <c r="F273" s="11"/>
      <c r="G273" s="11"/>
      <c r="H273" s="24"/>
    </row>
    <row r="274" spans="1:8" x14ac:dyDescent="0.2">
      <c r="A274" s="5" t="s">
        <v>154</v>
      </c>
      <c r="B274" s="13" t="s">
        <v>805</v>
      </c>
      <c r="C274" s="14" t="s">
        <v>596</v>
      </c>
      <c r="D274" s="43">
        <v>0</v>
      </c>
      <c r="E274" s="43">
        <v>1</v>
      </c>
      <c r="F274" s="11"/>
      <c r="G274" s="11"/>
      <c r="H274" s="24"/>
    </row>
  </sheetData>
  <autoFilter ref="A4:H274" xr:uid="{00000000-0009-0000-0000-000008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Không hợp lệ" error="Chọn từ danh sách." xr:uid="{00000000-0002-0000-0800-000000000000}">
          <x14:formula1>
            <xm:f>'DM. Mã hàng'!$A$5:$A$158</xm:f>
          </x14:formula1>
          <xm:sqref>F5:F274</xm:sqref>
        </x14:dataValidation>
        <x14:dataValidation type="list" allowBlank="1" errorTitle="Không hợp lệ" error="Chọn từ danh sách." xr:uid="{00000000-0002-0000-0800-000001000000}">
          <x14:formula1>
            <xm:f>'1. NhapKho'!$C$5:$C$351</xm:f>
          </x14:formula1>
          <xm:sqref>G5:G274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showGridLines="0" zoomScaleNormal="100" workbookViewId="0"/>
  </sheetViews>
  <sheetFormatPr baseColWidth="10" defaultColWidth="8.6640625" defaultRowHeight="15" x14ac:dyDescent="0.2"/>
  <cols>
    <col min="1" max="1" width="14" customWidth="1"/>
    <col min="2" max="2" width="30" customWidth="1"/>
    <col min="3" max="3" width="20" customWidth="1"/>
    <col min="4" max="4" width="10" customWidth="1"/>
    <col min="5" max="5" width="26" customWidth="1"/>
    <col min="6" max="6" width="10" customWidth="1"/>
    <col min="7" max="7" width="22" customWidth="1"/>
  </cols>
  <sheetData>
    <row r="1" spans="1:7" ht="18" customHeight="1" x14ac:dyDescent="0.2">
      <c r="A1" s="1" t="s">
        <v>827</v>
      </c>
    </row>
    <row r="2" spans="1:7" x14ac:dyDescent="0.2">
      <c r="A2" s="2" t="s">
        <v>828</v>
      </c>
    </row>
    <row r="4" spans="1:7" ht="36" customHeight="1" x14ac:dyDescent="0.2">
      <c r="A4" s="10" t="s">
        <v>42</v>
      </c>
      <c r="B4" s="10" t="s">
        <v>829</v>
      </c>
      <c r="C4" s="10" t="s">
        <v>830</v>
      </c>
      <c r="D4" s="10" t="s">
        <v>44</v>
      </c>
      <c r="E4" s="10" t="s">
        <v>831</v>
      </c>
      <c r="F4" s="10" t="s">
        <v>832</v>
      </c>
      <c r="G4" s="10" t="s">
        <v>563</v>
      </c>
    </row>
    <row r="5" spans="1:7" x14ac:dyDescent="0.2">
      <c r="A5" s="12" t="s">
        <v>65</v>
      </c>
      <c r="B5" s="5" t="s">
        <v>183</v>
      </c>
      <c r="C5" s="12" t="s">
        <v>833</v>
      </c>
      <c r="D5" s="13" t="s">
        <v>74</v>
      </c>
      <c r="E5" s="5"/>
      <c r="F5" s="43">
        <v>1</v>
      </c>
      <c r="G5" s="11"/>
    </row>
    <row r="6" spans="1:7" x14ac:dyDescent="0.2">
      <c r="A6" s="12" t="s">
        <v>65</v>
      </c>
      <c r="B6" s="5" t="s">
        <v>147</v>
      </c>
      <c r="C6" s="12" t="s">
        <v>833</v>
      </c>
      <c r="D6" s="13" t="s">
        <v>86</v>
      </c>
      <c r="E6" s="5"/>
      <c r="F6" s="43">
        <v>8</v>
      </c>
      <c r="G6" s="11"/>
    </row>
    <row r="7" spans="1:7" x14ac:dyDescent="0.2">
      <c r="A7" s="12" t="s">
        <v>65</v>
      </c>
      <c r="B7" s="5" t="s">
        <v>196</v>
      </c>
      <c r="C7" s="12" t="s">
        <v>833</v>
      </c>
      <c r="D7" s="13" t="s">
        <v>86</v>
      </c>
      <c r="E7" s="5"/>
      <c r="F7" s="43">
        <v>1</v>
      </c>
      <c r="G7" s="11"/>
    </row>
    <row r="8" spans="1:7" x14ac:dyDescent="0.2">
      <c r="A8" s="12" t="s">
        <v>65</v>
      </c>
      <c r="B8" s="5" t="s">
        <v>196</v>
      </c>
      <c r="C8" s="12" t="s">
        <v>833</v>
      </c>
      <c r="D8" s="13" t="s">
        <v>74</v>
      </c>
      <c r="E8" s="5"/>
      <c r="F8" s="43">
        <v>5</v>
      </c>
      <c r="G8" s="11"/>
    </row>
    <row r="9" spans="1:7" x14ac:dyDescent="0.2">
      <c r="A9" s="12" t="s">
        <v>65</v>
      </c>
      <c r="B9" s="5" t="s">
        <v>236</v>
      </c>
      <c r="C9" s="12" t="s">
        <v>833</v>
      </c>
      <c r="D9" s="13" t="s">
        <v>74</v>
      </c>
      <c r="E9" s="5" t="s">
        <v>822</v>
      </c>
      <c r="F9" s="43">
        <v>3</v>
      </c>
      <c r="G9" s="11"/>
    </row>
    <row r="10" spans="1:7" x14ac:dyDescent="0.2">
      <c r="A10" s="12" t="s">
        <v>65</v>
      </c>
      <c r="B10" s="5" t="s">
        <v>236</v>
      </c>
      <c r="C10" s="12" t="s">
        <v>833</v>
      </c>
      <c r="D10" s="13" t="s">
        <v>86</v>
      </c>
      <c r="E10" s="5" t="s">
        <v>834</v>
      </c>
      <c r="F10" s="43">
        <v>1</v>
      </c>
      <c r="G10" s="11"/>
    </row>
    <row r="11" spans="1:7" x14ac:dyDescent="0.2">
      <c r="A11" s="12" t="s">
        <v>65</v>
      </c>
      <c r="B11" s="5" t="s">
        <v>137</v>
      </c>
      <c r="C11" s="12" t="s">
        <v>833</v>
      </c>
      <c r="D11" s="13" t="s">
        <v>74</v>
      </c>
      <c r="E11" s="5" t="s">
        <v>835</v>
      </c>
      <c r="F11" s="43">
        <v>1</v>
      </c>
      <c r="G11" s="11"/>
    </row>
    <row r="12" spans="1:7" x14ac:dyDescent="0.2">
      <c r="A12" s="12" t="s">
        <v>65</v>
      </c>
      <c r="B12" s="5" t="s">
        <v>159</v>
      </c>
      <c r="C12" s="12" t="s">
        <v>833</v>
      </c>
      <c r="D12" s="13" t="s">
        <v>74</v>
      </c>
      <c r="E12" s="5" t="s">
        <v>836</v>
      </c>
      <c r="F12" s="43">
        <v>1</v>
      </c>
      <c r="G12" s="11"/>
    </row>
    <row r="13" spans="1:7" x14ac:dyDescent="0.2">
      <c r="A13" s="12" t="s">
        <v>65</v>
      </c>
      <c r="B13" s="5" t="s">
        <v>130</v>
      </c>
      <c r="C13" s="12" t="s">
        <v>833</v>
      </c>
      <c r="D13" s="13" t="s">
        <v>86</v>
      </c>
      <c r="E13" s="5" t="s">
        <v>837</v>
      </c>
      <c r="F13" s="43">
        <v>1</v>
      </c>
      <c r="G13" s="11"/>
    </row>
    <row r="14" spans="1:7" x14ac:dyDescent="0.2">
      <c r="A14" s="12" t="s">
        <v>65</v>
      </c>
      <c r="B14" s="5" t="s">
        <v>196</v>
      </c>
      <c r="C14" s="12"/>
      <c r="D14" s="13" t="s">
        <v>74</v>
      </c>
      <c r="E14" s="5" t="s">
        <v>838</v>
      </c>
      <c r="F14" s="43">
        <v>1</v>
      </c>
      <c r="G14" s="11"/>
    </row>
    <row r="15" spans="1:7" x14ac:dyDescent="0.2">
      <c r="A15" s="12" t="s">
        <v>65</v>
      </c>
      <c r="B15" s="5" t="s">
        <v>219</v>
      </c>
      <c r="C15" s="12"/>
      <c r="D15" s="13" t="s">
        <v>86</v>
      </c>
      <c r="E15" s="5" t="s">
        <v>839</v>
      </c>
      <c r="F15" s="43">
        <v>1</v>
      </c>
      <c r="G15" s="11"/>
    </row>
    <row r="16" spans="1:7" x14ac:dyDescent="0.2">
      <c r="A16" s="12" t="s">
        <v>65</v>
      </c>
      <c r="B16" s="5" t="s">
        <v>108</v>
      </c>
      <c r="C16" s="12"/>
      <c r="D16" s="13" t="s">
        <v>74</v>
      </c>
      <c r="E16" s="5" t="s">
        <v>840</v>
      </c>
      <c r="F16" s="43">
        <v>1</v>
      </c>
      <c r="G16" s="11"/>
    </row>
    <row r="17" spans="1:7" x14ac:dyDescent="0.2">
      <c r="A17" s="12" t="s">
        <v>65</v>
      </c>
      <c r="B17" s="5" t="s">
        <v>841</v>
      </c>
      <c r="C17" s="12"/>
      <c r="D17" s="13" t="s">
        <v>86</v>
      </c>
      <c r="E17" s="5"/>
      <c r="F17" s="43">
        <v>2</v>
      </c>
      <c r="G17" s="11"/>
    </row>
    <row r="18" spans="1:7" x14ac:dyDescent="0.2">
      <c r="A18" s="12" t="s">
        <v>65</v>
      </c>
      <c r="B18" s="5" t="s">
        <v>236</v>
      </c>
      <c r="C18" s="12"/>
      <c r="D18" s="13" t="s">
        <v>86</v>
      </c>
      <c r="E18" s="5" t="s">
        <v>842</v>
      </c>
      <c r="F18" s="43">
        <v>1</v>
      </c>
      <c r="G18" s="11"/>
    </row>
    <row r="19" spans="1:7" x14ac:dyDescent="0.2">
      <c r="A19" s="12" t="s">
        <v>263</v>
      </c>
      <c r="B19" s="5" t="s">
        <v>843</v>
      </c>
      <c r="C19" s="12"/>
      <c r="D19" s="13" t="s">
        <v>86</v>
      </c>
      <c r="E19" s="5"/>
      <c r="F19" s="43">
        <v>1</v>
      </c>
      <c r="G19" s="11"/>
    </row>
    <row r="20" spans="1:7" x14ac:dyDescent="0.2">
      <c r="A20" s="12" t="s">
        <v>263</v>
      </c>
      <c r="B20" s="5" t="s">
        <v>843</v>
      </c>
      <c r="C20" s="12"/>
      <c r="D20" s="13" t="s">
        <v>74</v>
      </c>
      <c r="E20" s="5"/>
      <c r="F20" s="43">
        <v>1</v>
      </c>
      <c r="G20" s="11"/>
    </row>
    <row r="21" spans="1:7" x14ac:dyDescent="0.2">
      <c r="A21" s="12" t="s">
        <v>263</v>
      </c>
      <c r="B21" s="5" t="s">
        <v>844</v>
      </c>
      <c r="C21" s="12"/>
      <c r="D21" s="13" t="s">
        <v>86</v>
      </c>
      <c r="E21" s="5"/>
      <c r="F21" s="43">
        <v>3</v>
      </c>
      <c r="G21" s="11"/>
    </row>
    <row r="22" spans="1:7" x14ac:dyDescent="0.2">
      <c r="A22" s="12" t="s">
        <v>263</v>
      </c>
      <c r="B22" s="5" t="s">
        <v>845</v>
      </c>
      <c r="C22" s="12"/>
      <c r="D22" s="13" t="s">
        <v>142</v>
      </c>
      <c r="E22" s="5"/>
      <c r="F22" s="43">
        <v>1</v>
      </c>
      <c r="G22" s="11"/>
    </row>
    <row r="23" spans="1:7" x14ac:dyDescent="0.2">
      <c r="A23" s="12" t="s">
        <v>263</v>
      </c>
      <c r="B23" s="5" t="s">
        <v>845</v>
      </c>
      <c r="C23" s="12"/>
      <c r="D23" s="13" t="s">
        <v>100</v>
      </c>
      <c r="E23" s="5"/>
      <c r="F23" s="43">
        <v>1</v>
      </c>
      <c r="G23" s="11"/>
    </row>
    <row r="24" spans="1:7" x14ac:dyDescent="0.2">
      <c r="A24" s="12" t="s">
        <v>263</v>
      </c>
      <c r="B24" s="5" t="s">
        <v>846</v>
      </c>
      <c r="C24" s="12"/>
      <c r="D24" s="13" t="s">
        <v>86</v>
      </c>
      <c r="E24" s="5"/>
      <c r="F24" s="43">
        <v>8</v>
      </c>
      <c r="G24" s="11"/>
    </row>
    <row r="25" spans="1:7" x14ac:dyDescent="0.2">
      <c r="A25" s="12" t="s">
        <v>263</v>
      </c>
      <c r="B25" s="5" t="s">
        <v>847</v>
      </c>
      <c r="C25" s="12"/>
      <c r="D25" s="13" t="s">
        <v>105</v>
      </c>
      <c r="E25" s="5"/>
      <c r="F25" s="43">
        <v>4</v>
      </c>
      <c r="G25" s="11"/>
    </row>
    <row r="26" spans="1:7" x14ac:dyDescent="0.2">
      <c r="A26" s="12" t="s">
        <v>263</v>
      </c>
      <c r="B26" s="5" t="s">
        <v>847</v>
      </c>
      <c r="C26" s="12"/>
      <c r="D26" s="13" t="s">
        <v>70</v>
      </c>
      <c r="E26" s="5"/>
      <c r="F26" s="43">
        <v>1</v>
      </c>
      <c r="G26" s="11"/>
    </row>
    <row r="27" spans="1:7" x14ac:dyDescent="0.2">
      <c r="A27" s="12" t="s">
        <v>263</v>
      </c>
      <c r="B27" s="5" t="s">
        <v>846</v>
      </c>
      <c r="C27" s="12"/>
      <c r="D27" s="13" t="s">
        <v>70</v>
      </c>
      <c r="E27" s="5"/>
      <c r="F27" s="43">
        <v>5</v>
      </c>
      <c r="G27" s="11"/>
    </row>
    <row r="28" spans="1:7" x14ac:dyDescent="0.2">
      <c r="A28" s="12" t="s">
        <v>263</v>
      </c>
      <c r="B28" s="5" t="s">
        <v>847</v>
      </c>
      <c r="C28" s="12" t="s">
        <v>848</v>
      </c>
      <c r="D28" s="13" t="s">
        <v>86</v>
      </c>
      <c r="E28" s="5"/>
      <c r="F28" s="43">
        <v>1</v>
      </c>
      <c r="G28" s="11"/>
    </row>
    <row r="29" spans="1:7" x14ac:dyDescent="0.2">
      <c r="A29" s="12" t="s">
        <v>263</v>
      </c>
      <c r="B29" s="5" t="s">
        <v>847</v>
      </c>
      <c r="C29" s="12" t="s">
        <v>848</v>
      </c>
      <c r="D29" s="13" t="s">
        <v>74</v>
      </c>
      <c r="E29" s="5"/>
      <c r="F29" s="43">
        <v>1</v>
      </c>
      <c r="G29" s="11"/>
    </row>
    <row r="30" spans="1:7" x14ac:dyDescent="0.2">
      <c r="A30" s="12" t="s">
        <v>263</v>
      </c>
      <c r="B30" s="5" t="s">
        <v>845</v>
      </c>
      <c r="C30" s="12"/>
      <c r="D30" s="13" t="s">
        <v>92</v>
      </c>
      <c r="E30" s="5"/>
      <c r="F30" s="43">
        <v>34</v>
      </c>
      <c r="G30" s="11"/>
    </row>
    <row r="31" spans="1:7" x14ac:dyDescent="0.2">
      <c r="A31" s="12" t="s">
        <v>263</v>
      </c>
      <c r="B31" s="5" t="s">
        <v>847</v>
      </c>
      <c r="C31" s="12"/>
      <c r="D31" s="13"/>
      <c r="E31" s="5"/>
      <c r="F31" s="43">
        <v>6</v>
      </c>
      <c r="G31" s="11"/>
    </row>
    <row r="33" spans="5:6" x14ac:dyDescent="0.2">
      <c r="E33" s="28" t="s">
        <v>528</v>
      </c>
      <c r="F33" s="29">
        <f>SUM(F5:F31)</f>
        <v>95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Không hợp lệ" error="Chọn từ danh sách." xr:uid="{00000000-0002-0000-0900-000000000000}">
          <x14:formula1>
            <xm:f>'DM. Mã hàng'!$A$5:$A$158</xm:f>
          </x14:formula1>
          <xm:sqref>G5:G31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Hướng dẫn</vt:lpstr>
      <vt:lpstr>DM. Mã hàng</vt:lpstr>
      <vt:lpstr>DM. Hợp đồng bán</vt:lpstr>
      <vt:lpstr>1. NhapKho</vt:lpstr>
      <vt:lpstr>2. XuatKho</vt:lpstr>
      <vt:lpstr>3. TonTheoLo</vt:lpstr>
      <vt:lpstr>3b. TonTheoMaHang</vt:lpstr>
      <vt:lpstr>4. TheoHopDong</vt:lpstr>
      <vt:lpstr>5. AnhXaTenBan</vt:lpstr>
      <vt:lpstr>6. KiemKe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2026-09-02T05:08:00Z</dcterms:created>
  <dcterms:modified xsi:type="dcterms:W3CDTF">2026-09-02T09:27:54Z</dcterms:modified>
  <dc:language>en-US</dc:language>
</cp:coreProperties>
</file>